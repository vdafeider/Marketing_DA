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lodymyrbabunych/Downloads/test_DA/"/>
    </mc:Choice>
  </mc:AlternateContent>
  <xr:revisionPtr revIDLastSave="0" documentId="13_ncr:1_{757092DA-9300-6A4A-8D1D-33064E7B857D}" xr6:coauthVersionLast="47" xr6:coauthVersionMax="47" xr10:uidLastSave="{00000000-0000-0000-0000-000000000000}"/>
  <bookViews>
    <workbookView xWindow="12720" yWindow="1660" windowWidth="34560" windowHeight="20140" activeTab="7" xr2:uid="{897DFD2C-6CD3-F84D-9836-78DA6BEB018E}"/>
  </bookViews>
  <sheets>
    <sheet name="order" sheetId="1" r:id="rId1"/>
    <sheet name="site_event_log" sheetId="2" r:id="rId2"/>
    <sheet name="site_mapping" sheetId="3" r:id="rId3"/>
    <sheet name="traffic_sources" sheetId="4" r:id="rId4"/>
    <sheet name="task_1" sheetId="5" r:id="rId5"/>
    <sheet name="task_2" sheetId="6" r:id="rId6"/>
    <sheet name="task_3" sheetId="7" r:id="rId7"/>
    <sheet name="task_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F5" i="7" s="1"/>
  <c r="C5" i="7"/>
  <c r="D5" i="7"/>
  <c r="E5" i="7"/>
  <c r="B6" i="7"/>
  <c r="F6" i="7" s="1"/>
  <c r="C6" i="7"/>
  <c r="D6" i="7"/>
  <c r="E6" i="7"/>
  <c r="B7" i="7"/>
  <c r="F7" i="7" s="1"/>
  <c r="C7" i="7"/>
  <c r="D7" i="7"/>
  <c r="E7" i="7"/>
  <c r="B8" i="7"/>
  <c r="F8" i="7" s="1"/>
  <c r="C8" i="7"/>
  <c r="D8" i="7"/>
  <c r="E8" i="7"/>
  <c r="B9" i="7"/>
  <c r="F9" i="7" s="1"/>
  <c r="C9" i="7"/>
  <c r="G9" i="7" s="1"/>
  <c r="D9" i="7"/>
  <c r="E9" i="7"/>
  <c r="B10" i="7"/>
  <c r="F10" i="7" s="1"/>
  <c r="C10" i="7"/>
  <c r="D10" i="7"/>
  <c r="E10" i="7"/>
  <c r="B11" i="7"/>
  <c r="F11" i="7" s="1"/>
  <c r="C11" i="7"/>
  <c r="D11" i="7"/>
  <c r="E11" i="7"/>
  <c r="B12" i="7"/>
  <c r="F12" i="7" s="1"/>
  <c r="C12" i="7"/>
  <c r="D12" i="7"/>
  <c r="E12" i="7"/>
  <c r="B13" i="7"/>
  <c r="F13" i="7" s="1"/>
  <c r="C13" i="7"/>
  <c r="D13" i="7"/>
  <c r="E13" i="7"/>
  <c r="H10" i="7"/>
  <c r="H5" i="7"/>
  <c r="C7" i="6" a="1"/>
  <c r="C7" i="6" s="1"/>
  <c r="F12" i="6"/>
  <c r="F7" i="6" a="1"/>
  <c r="F7" i="6" s="1"/>
  <c r="F8" i="6" a="1"/>
  <c r="F8" i="6" s="1"/>
  <c r="F9" i="6" a="1"/>
  <c r="F9" i="6" s="1"/>
  <c r="F10" i="6" a="1"/>
  <c r="F10" i="6" s="1"/>
  <c r="F11" i="6" a="1"/>
  <c r="F11" i="6" s="1"/>
  <c r="J36" i="6" a="1"/>
  <c r="J36" i="6" s="1"/>
  <c r="J35" i="6" a="1"/>
  <c r="J35" i="6" s="1"/>
  <c r="J34" i="6" a="1"/>
  <c r="J34" i="6" s="1"/>
  <c r="J33" i="6" a="1"/>
  <c r="J33" i="6" s="1"/>
  <c r="J32" i="6" a="1"/>
  <c r="J32" i="6" s="1"/>
  <c r="J31" i="6" a="1"/>
  <c r="J31" i="6" s="1"/>
  <c r="J30" i="6" a="1"/>
  <c r="J30" i="6" s="1"/>
  <c r="J29" i="6" a="1"/>
  <c r="J29" i="6" s="1"/>
  <c r="J28" i="6" a="1"/>
  <c r="J28" i="6" s="1"/>
  <c r="J27" i="6" a="1"/>
  <c r="J27" i="6" s="1"/>
  <c r="J26" i="6" a="1"/>
  <c r="J26" i="6" s="1"/>
  <c r="J25" i="6" a="1"/>
  <c r="J25" i="6" s="1"/>
  <c r="J24" i="6" a="1"/>
  <c r="J24" i="6" s="1"/>
  <c r="J23" i="6" a="1"/>
  <c r="J23" i="6" s="1"/>
  <c r="J22" i="6" a="1"/>
  <c r="J22" i="6" s="1"/>
  <c r="J21" i="6" a="1"/>
  <c r="J21" i="6" s="1"/>
  <c r="J20" i="6" a="1"/>
  <c r="J20" i="6" s="1"/>
  <c r="J19" i="6" a="1"/>
  <c r="J19" i="6" s="1"/>
  <c r="J18" i="6" a="1"/>
  <c r="J18" i="6" s="1"/>
  <c r="J17" i="6" a="1"/>
  <c r="J17" i="6" s="1"/>
  <c r="J16" i="6" a="1"/>
  <c r="J16" i="6" s="1"/>
  <c r="J15" i="6" a="1"/>
  <c r="J15" i="6" s="1"/>
  <c r="J14" i="6" a="1"/>
  <c r="J14" i="6" s="1"/>
  <c r="J13" i="6" a="1"/>
  <c r="J13" i="6" s="1"/>
  <c r="J12" i="6" a="1"/>
  <c r="J12" i="6" s="1"/>
  <c r="J11" i="6" a="1"/>
  <c r="J11" i="6" s="1"/>
  <c r="J10" i="6" a="1"/>
  <c r="J10" i="6" s="1"/>
  <c r="J9" i="6" a="1"/>
  <c r="J9" i="6" s="1"/>
  <c r="J8" i="6" a="1"/>
  <c r="J8" i="6" s="1"/>
  <c r="J7" i="6" a="1"/>
  <c r="J7" i="6" s="1"/>
  <c r="F28" i="6" a="1"/>
  <c r="F28" i="6" s="1"/>
  <c r="E28" i="6" a="1"/>
  <c r="E28" i="6" s="1"/>
  <c r="D28" i="6" a="1"/>
  <c r="D28" i="6" s="1"/>
  <c r="C28" i="6" a="1"/>
  <c r="C28" i="6" s="1"/>
  <c r="B28" i="6" a="1"/>
  <c r="B28" i="6" s="1"/>
  <c r="F27" i="6" a="1"/>
  <c r="F27" i="6" s="1"/>
  <c r="E27" i="6" a="1"/>
  <c r="E27" i="6" s="1"/>
  <c r="D27" i="6" a="1"/>
  <c r="D27" i="6" s="1"/>
  <c r="C27" i="6" a="1"/>
  <c r="C27" i="6" s="1"/>
  <c r="B27" i="6" a="1"/>
  <c r="B27" i="6" s="1"/>
  <c r="F26" i="6" a="1"/>
  <c r="F26" i="6" s="1"/>
  <c r="E26" i="6" a="1"/>
  <c r="E26" i="6" s="1"/>
  <c r="D26" i="6" a="1"/>
  <c r="D26" i="6" s="1"/>
  <c r="C26" i="6" a="1"/>
  <c r="C26" i="6" s="1"/>
  <c r="B26" i="6" a="1"/>
  <c r="B26" i="6" s="1"/>
  <c r="F25" i="6" a="1"/>
  <c r="F25" i="6" s="1"/>
  <c r="E25" i="6" a="1"/>
  <c r="E25" i="6" s="1"/>
  <c r="D25" i="6" a="1"/>
  <c r="D25" i="6" s="1"/>
  <c r="C25" i="6" a="1"/>
  <c r="C25" i="6" s="1"/>
  <c r="B25" i="6" a="1"/>
  <c r="B25" i="6" s="1"/>
  <c r="F24" i="6" a="1"/>
  <c r="F24" i="6" s="1"/>
  <c r="E24" i="6" a="1"/>
  <c r="E24" i="6" s="1"/>
  <c r="D24" i="6" a="1"/>
  <c r="D24" i="6" s="1"/>
  <c r="C24" i="6" a="1"/>
  <c r="C24" i="6" s="1"/>
  <c r="B24" i="6" a="1"/>
  <c r="B24" i="6" s="1"/>
  <c r="F23" i="6" a="1"/>
  <c r="F23" i="6" s="1"/>
  <c r="E23" i="6" a="1"/>
  <c r="E23" i="6" s="1"/>
  <c r="D23" i="6" a="1"/>
  <c r="D23" i="6" s="1"/>
  <c r="C23" i="6" a="1"/>
  <c r="C23" i="6" s="1"/>
  <c r="B23" i="6" a="1"/>
  <c r="B23" i="6" s="1"/>
  <c r="F22" i="6" a="1"/>
  <c r="F22" i="6" s="1"/>
  <c r="E22" i="6" a="1"/>
  <c r="E22" i="6" s="1"/>
  <c r="D22" i="6" a="1"/>
  <c r="D22" i="6" s="1"/>
  <c r="C22" i="6" a="1"/>
  <c r="C22" i="6" s="1"/>
  <c r="B22" i="6" a="1"/>
  <c r="B22" i="6" s="1"/>
  <c r="F21" i="6" a="1"/>
  <c r="F21" i="6" s="1"/>
  <c r="E21" i="6" a="1"/>
  <c r="E21" i="6" s="1"/>
  <c r="D21" i="6" a="1"/>
  <c r="D21" i="6" s="1"/>
  <c r="C21" i="6" a="1"/>
  <c r="C21" i="6" s="1"/>
  <c r="B21" i="6" a="1"/>
  <c r="B21" i="6" s="1"/>
  <c r="F20" i="6" a="1"/>
  <c r="F20" i="6" s="1"/>
  <c r="E20" i="6" a="1"/>
  <c r="E20" i="6" s="1"/>
  <c r="D20" i="6" a="1"/>
  <c r="D20" i="6" s="1"/>
  <c r="C20" i="6" a="1"/>
  <c r="C20" i="6" s="1"/>
  <c r="B20" i="6" a="1"/>
  <c r="B20" i="6" s="1"/>
  <c r="G11" i="6" a="1"/>
  <c r="G11" i="6" s="1"/>
  <c r="G10" i="6" a="1"/>
  <c r="G10" i="6" s="1"/>
  <c r="G9" i="6" a="1"/>
  <c r="G9" i="6" s="1"/>
  <c r="G8" i="6" a="1"/>
  <c r="G8" i="6" s="1"/>
  <c r="G7" i="6" a="1"/>
  <c r="G7" i="6" s="1"/>
  <c r="C15" i="6" a="1"/>
  <c r="C15" i="6" s="1"/>
  <c r="B15" i="6" a="1"/>
  <c r="B15" i="6" s="1"/>
  <c r="C14" i="6" a="1"/>
  <c r="C14" i="6" s="1"/>
  <c r="B14" i="6" a="1"/>
  <c r="B14" i="6" s="1"/>
  <c r="C13" i="6" a="1"/>
  <c r="C13" i="6" s="1"/>
  <c r="B13" i="6" a="1"/>
  <c r="B13" i="6" s="1"/>
  <c r="C12" i="6" a="1"/>
  <c r="C12" i="6" s="1"/>
  <c r="B12" i="6" a="1"/>
  <c r="B12" i="6" s="1"/>
  <c r="C11" i="6" a="1"/>
  <c r="C11" i="6" s="1"/>
  <c r="B11" i="6" a="1"/>
  <c r="B11" i="6" s="1"/>
  <c r="C10" i="6" a="1"/>
  <c r="C10" i="6" s="1"/>
  <c r="B10" i="6" a="1"/>
  <c r="B10" i="6" s="1"/>
  <c r="C9" i="6" a="1"/>
  <c r="C9" i="6" s="1"/>
  <c r="B9" i="6" a="1"/>
  <c r="B9" i="6" s="1"/>
  <c r="C8" i="6" a="1"/>
  <c r="C8" i="6" s="1"/>
  <c r="B8" i="6" a="1"/>
  <c r="B8" i="6" s="1"/>
  <c r="B7" i="6" a="1"/>
  <c r="B7" i="6" s="1"/>
  <c r="C36" i="5"/>
  <c r="C37" i="5"/>
  <c r="C38" i="5"/>
  <c r="C39" i="5"/>
  <c r="C40" i="5"/>
  <c r="C41" i="5"/>
  <c r="C42" i="5"/>
  <c r="C43" i="5"/>
  <c r="C44" i="5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35" i="5"/>
  <c r="C34" i="5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34" i="5" a="1"/>
  <c r="B34" i="5" s="1"/>
  <c r="I30" i="5"/>
  <c r="H30" i="5"/>
  <c r="F30" i="5"/>
  <c r="E30" i="5"/>
  <c r="C30" i="5"/>
  <c r="B30" i="5"/>
  <c r="I29" i="5"/>
  <c r="H29" i="5"/>
  <c r="J29" i="5" s="1"/>
  <c r="F29" i="5"/>
  <c r="E29" i="5"/>
  <c r="C29" i="5"/>
  <c r="B29" i="5"/>
  <c r="I28" i="5"/>
  <c r="H28" i="5"/>
  <c r="F28" i="5"/>
  <c r="E28" i="5"/>
  <c r="C28" i="5"/>
  <c r="B28" i="5"/>
  <c r="I27" i="5"/>
  <c r="H27" i="5"/>
  <c r="F27" i="5"/>
  <c r="E27" i="5"/>
  <c r="C27" i="5"/>
  <c r="B27" i="5"/>
  <c r="I26" i="5"/>
  <c r="H26" i="5"/>
  <c r="F26" i="5"/>
  <c r="E26" i="5"/>
  <c r="G26" i="5" s="1"/>
  <c r="C26" i="5"/>
  <c r="B26" i="5"/>
  <c r="I25" i="5"/>
  <c r="H25" i="5"/>
  <c r="F25" i="5"/>
  <c r="E25" i="5"/>
  <c r="C25" i="5"/>
  <c r="B25" i="5"/>
  <c r="I24" i="5"/>
  <c r="H24" i="5"/>
  <c r="F24" i="5"/>
  <c r="E24" i="5"/>
  <c r="C24" i="5"/>
  <c r="B24" i="5"/>
  <c r="I23" i="5"/>
  <c r="H23" i="5"/>
  <c r="F23" i="5"/>
  <c r="E23" i="5"/>
  <c r="C23" i="5"/>
  <c r="B23" i="5"/>
  <c r="I22" i="5"/>
  <c r="H22" i="5"/>
  <c r="F22" i="5"/>
  <c r="E22" i="5"/>
  <c r="C22" i="5"/>
  <c r="B22" i="5"/>
  <c r="B15" i="5" a="1"/>
  <c r="B15" i="5" s="1"/>
  <c r="G15" i="5" s="1"/>
  <c r="B10" i="5" a="1"/>
  <c r="B10" i="5" s="1"/>
  <c r="G10" i="5" s="1"/>
  <c r="C10" i="5" a="1"/>
  <c r="C10" i="5" s="1"/>
  <c r="B12" i="5" a="1"/>
  <c r="B12" i="5" s="1"/>
  <c r="G12" i="5" s="1"/>
  <c r="C12" i="5" a="1"/>
  <c r="C12" i="5" s="1"/>
  <c r="B16" i="5" a="1"/>
  <c r="B16" i="5" s="1"/>
  <c r="G16" i="5" s="1"/>
  <c r="C16" i="5" a="1"/>
  <c r="C16" i="5" s="1"/>
  <c r="D16" i="5" s="1"/>
  <c r="B14" i="5" a="1"/>
  <c r="B14" i="5" s="1"/>
  <c r="E14" i="5" s="1"/>
  <c r="C14" i="5" a="1"/>
  <c r="C14" i="5" s="1"/>
  <c r="B9" i="5" a="1"/>
  <c r="B9" i="5" s="1"/>
  <c r="C9" i="5" a="1"/>
  <c r="C9" i="5" s="1"/>
  <c r="G9" i="5" s="1"/>
  <c r="B13" i="5" a="1"/>
  <c r="B13" i="5" s="1"/>
  <c r="G13" i="5" s="1"/>
  <c r="C13" i="5" a="1"/>
  <c r="C13" i="5" s="1"/>
  <c r="B11" i="5" a="1"/>
  <c r="B11" i="5" s="1"/>
  <c r="G11" i="5" s="1"/>
  <c r="C11" i="5" a="1"/>
  <c r="C11" i="5" s="1"/>
  <c r="B17" i="5" a="1"/>
  <c r="B17" i="5" s="1"/>
  <c r="G17" i="5" s="1"/>
  <c r="C17" i="5" a="1"/>
  <c r="C17" i="5" s="1"/>
  <c r="C15" i="5" a="1"/>
  <c r="C15" i="5" s="1"/>
  <c r="H11" i="7" l="1"/>
  <c r="G6" i="7"/>
  <c r="H9" i="7"/>
  <c r="H7" i="7"/>
  <c r="G13" i="7"/>
  <c r="H6" i="7"/>
  <c r="G11" i="7"/>
  <c r="G12" i="7"/>
  <c r="G10" i="7"/>
  <c r="H13" i="7"/>
  <c r="H12" i="7"/>
  <c r="G8" i="7"/>
  <c r="G7" i="7"/>
  <c r="H8" i="7"/>
  <c r="G5" i="7"/>
  <c r="J37" i="6"/>
  <c r="G21" i="6"/>
  <c r="G20" i="6"/>
  <c r="G27" i="6"/>
  <c r="G25" i="6"/>
  <c r="G28" i="6"/>
  <c r="G26" i="6"/>
  <c r="G14" i="5"/>
  <c r="D22" i="5"/>
  <c r="J23" i="5"/>
  <c r="G25" i="5"/>
  <c r="D27" i="5"/>
  <c r="J28" i="5"/>
  <c r="G30" i="5"/>
  <c r="G24" i="6"/>
  <c r="G22" i="6"/>
  <c r="G23" i="6"/>
  <c r="D26" i="5"/>
  <c r="J27" i="5"/>
  <c r="G29" i="5"/>
  <c r="J25" i="5"/>
  <c r="G27" i="5"/>
  <c r="D29" i="5"/>
  <c r="J30" i="5"/>
  <c r="G24" i="5"/>
  <c r="J26" i="5"/>
  <c r="D30" i="5"/>
  <c r="G23" i="5"/>
  <c r="D25" i="5"/>
  <c r="D28" i="5"/>
  <c r="G28" i="5"/>
  <c r="G22" i="5"/>
  <c r="D24" i="5"/>
  <c r="J22" i="5"/>
  <c r="D23" i="5"/>
  <c r="J24" i="5"/>
  <c r="D12" i="5"/>
  <c r="D13" i="5"/>
  <c r="D10" i="5"/>
  <c r="E16" i="5"/>
  <c r="E12" i="5"/>
  <c r="D14" i="5"/>
  <c r="D17" i="5"/>
  <c r="D11" i="5"/>
  <c r="D15" i="5"/>
  <c r="E15" i="5"/>
  <c r="E11" i="5"/>
  <c r="E17" i="5"/>
  <c r="E13" i="5"/>
  <c r="D9" i="5"/>
  <c r="E9" i="5"/>
  <c r="E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Volodymyr Babunych</author>
  </authors>
  <commentList>
    <comment ref="G4" authorId="0" shapeId="0" xr:uid="{F520D7C8-5BB6-5E44-8BBF-8889696A1160}">
      <text>
        <r>
          <rPr>
            <b/>
            <sz val="10.5"/>
            <color rgb="FF000000"/>
            <rFont val="Tahoma"/>
            <family val="34"/>
          </rPr>
          <t>Volodymyr Babunych:</t>
        </r>
        <r>
          <rPr>
            <sz val="10.5"/>
            <color rgb="FF000000"/>
            <rFont val="Tahoma"/>
            <family val="34"/>
          </rPr>
          <t xml:space="preserve">
</t>
        </r>
        <r>
          <rPr>
            <b/>
            <sz val="10.5"/>
            <color rgb="FF7F7F7F"/>
            <rFont val="Tahoma"/>
            <family val="34"/>
          </rPr>
          <t>С</t>
        </r>
        <r>
          <rPr>
            <b/>
            <sz val="10.5"/>
            <color rgb="FF7F7F7F"/>
            <rFont val="Tahoma"/>
            <family val="34"/>
          </rPr>
          <t>onversion</t>
        </r>
        <r>
          <rPr>
            <b/>
            <sz val="10.5"/>
            <color rgb="FF7F7F7F"/>
            <rFont val="Tahoma"/>
            <family val="34"/>
          </rPr>
          <t>s</t>
        </r>
        <r>
          <rPr>
            <b/>
            <sz val="10.5"/>
            <color rgb="FF7F7F7F"/>
            <rFont val="Tahoma"/>
            <family val="34"/>
          </rPr>
          <t xml:space="preserve"> / cta_click —  </t>
        </r>
        <r>
          <rPr>
            <b/>
            <sz val="10.5"/>
            <color rgb="FF000000"/>
            <rFont val="Tahoma"/>
            <family val="34"/>
          </rPr>
          <t xml:space="preserve">некоректно синтезовані дані,   conversion більше  ніж cta_click чи checkout_initiat, що логічно неможливо у воронці.
</t>
        </r>
        <r>
          <rPr>
            <b/>
            <sz val="10.5"/>
            <color rgb="FF000000"/>
            <rFont val="Tahoma"/>
            <family val="34"/>
          </rPr>
          <t xml:space="preserve">
</t>
        </r>
        <r>
          <rPr>
            <b/>
            <sz val="10.5"/>
            <color rgb="FF000000"/>
            <rFont val="Tahoma"/>
            <family val="34"/>
          </rPr>
          <t xml:space="preserve">user_id </t>
        </r>
        <r>
          <rPr>
            <b/>
            <sz val="10.5"/>
            <color rgb="FF000000"/>
            <rFont val="Tahoma"/>
            <family val="34"/>
          </rPr>
          <t>рандомно синтезований, не можливо відстежити поведінку користувача</t>
        </r>
      </text>
    </comment>
    <comment ref="H4" authorId="0" shapeId="0" xr:uid="{A1F9C1D3-D653-D443-BFAF-3D08304ACBB0}">
      <text>
        <r>
          <rPr>
            <b/>
            <sz val="10.5"/>
            <color rgb="FF7F7F7F"/>
            <rFont val="Tahoma"/>
            <family val="2"/>
          </rPr>
          <t xml:space="preserve">Conversions / Sessions </t>
        </r>
        <r>
          <rPr>
            <b/>
            <sz val="10.5"/>
            <color rgb="FF000000"/>
            <rFont val="Tahoma"/>
            <family val="2"/>
          </rPr>
          <t>— стандартна маркетингова конверсія: частка сесій, що завершились конверсією. Сесії беруться з traffic_sources (сума по сайту).</t>
        </r>
      </text>
    </comment>
    <comment ref="A18" authorId="0" shapeId="0" xr:uid="{E617DE65-ECC3-F74B-BC21-FBD5106CD9B7}">
      <text>
        <r>
          <rPr>
            <b/>
            <sz val="10"/>
            <color rgb="FF000000"/>
            <rFont val="Tahoma"/>
            <family val="2"/>
          </rPr>
          <t>Volodymyr Babunych: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Це мінімальний набір events. В залежності від сайту і домейну, можна інтегровувати більше етапів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<sst xmlns="http://schemas.openxmlformats.org/spreadsheetml/2006/main" count="4000" uniqueCount="895">
  <si>
    <t>order_id</t>
  </si>
  <si>
    <t>site</t>
  </si>
  <si>
    <t>region</t>
  </si>
  <si>
    <t>niche</t>
  </si>
  <si>
    <t>amount_usd</t>
  </si>
  <si>
    <t>date</t>
  </si>
  <si>
    <t>is_new_customer</t>
  </si>
  <si>
    <t>ORD126225</t>
  </si>
  <si>
    <t>typemaster.org</t>
  </si>
  <si>
    <t>CA</t>
  </si>
  <si>
    <t>Programming</t>
  </si>
  <si>
    <t>True</t>
  </si>
  <si>
    <t>ORD809570</t>
  </si>
  <si>
    <t>EU</t>
  </si>
  <si>
    <t>Nursing</t>
  </si>
  <si>
    <t>False</t>
  </si>
  <si>
    <t>ORD131244</t>
  </si>
  <si>
    <t>essayhubpro.net</t>
  </si>
  <si>
    <t>US</t>
  </si>
  <si>
    <t>ORD308496</t>
  </si>
  <si>
    <t>editgenius.net</t>
  </si>
  <si>
    <t>Presentation</t>
  </si>
  <si>
    <t>ORD948749</t>
  </si>
  <si>
    <t>paperwise.co</t>
  </si>
  <si>
    <t>ORD391369</t>
  </si>
  <si>
    <t>nursingessay.us</t>
  </si>
  <si>
    <t>UK</t>
  </si>
  <si>
    <t>ORD197251</t>
  </si>
  <si>
    <t>AU</t>
  </si>
  <si>
    <t>ORD946335</t>
  </si>
  <si>
    <t>ORD182627</t>
  </si>
  <si>
    <t>leadacademica.co.uk</t>
  </si>
  <si>
    <t>Editing</t>
  </si>
  <si>
    <t>ORD838797</t>
  </si>
  <si>
    <t>progassignments.io</t>
  </si>
  <si>
    <t>ORD183667</t>
  </si>
  <si>
    <t>ORD766563</t>
  </si>
  <si>
    <t>writemaster.co.uk</t>
  </si>
  <si>
    <t>ORD802729</t>
  </si>
  <si>
    <t>ORD864544</t>
  </si>
  <si>
    <t>ORD771088</t>
  </si>
  <si>
    <t>ORD340174</t>
  </si>
  <si>
    <t>ORD321231</t>
  </si>
  <si>
    <t>ORD774079</t>
  </si>
  <si>
    <t>ORD881177</t>
  </si>
  <si>
    <t>Academic</t>
  </si>
  <si>
    <t>ORD479580</t>
  </si>
  <si>
    <t>ORD892495</t>
  </si>
  <si>
    <t>ORD725380</t>
  </si>
  <si>
    <t>ORD363626</t>
  </si>
  <si>
    <t>ORD887352</t>
  </si>
  <si>
    <t>ORD265840</t>
  </si>
  <si>
    <t>ORD898975</t>
  </si>
  <si>
    <t>ORD982554</t>
  </si>
  <si>
    <t>ORD899550</t>
  </si>
  <si>
    <t>ORD612340</t>
  </si>
  <si>
    <t>ORD351083</t>
  </si>
  <si>
    <t>ORD867460</t>
  </si>
  <si>
    <t>ORD791798</t>
  </si>
  <si>
    <t>slidecraft.com</t>
  </si>
  <si>
    <t>ORD736059</t>
  </si>
  <si>
    <t>ORD518373</t>
  </si>
  <si>
    <t>ORD359947</t>
  </si>
  <si>
    <t>ORD341292</t>
  </si>
  <si>
    <t>ORD340062</t>
  </si>
  <si>
    <t>ORD639131</t>
  </si>
  <si>
    <t>ORD665427</t>
  </si>
  <si>
    <t>ORD922733</t>
  </si>
  <si>
    <t>ORD790993</t>
  </si>
  <si>
    <t>ORD864491</t>
  </si>
  <si>
    <t>ORD939482</t>
  </si>
  <si>
    <t>ORD570405</t>
  </si>
  <si>
    <t>ORD361941</t>
  </si>
  <si>
    <t>ORD783823</t>
  </si>
  <si>
    <t>ORD526156</t>
  </si>
  <si>
    <t>ORD272634</t>
  </si>
  <si>
    <t>ORD399105</t>
  </si>
  <si>
    <t>ORD299122</t>
  </si>
  <si>
    <t>ORD159942</t>
  </si>
  <si>
    <t>ORD632496</t>
  </si>
  <si>
    <t>ORD523389</t>
  </si>
  <si>
    <t>ORD539589</t>
  </si>
  <si>
    <t>ORD314181</t>
  </si>
  <si>
    <t>ORD804318</t>
  </si>
  <si>
    <t>ORD580547</t>
  </si>
  <si>
    <t>ORD323508</t>
  </si>
  <si>
    <t>ORD356150</t>
  </si>
  <si>
    <t>ORD837715</t>
  </si>
  <si>
    <t>ORD413921</t>
  </si>
  <si>
    <t>ORD878480</t>
  </si>
  <si>
    <t>ORD852470</t>
  </si>
  <si>
    <t>ORD612262</t>
  </si>
  <si>
    <t>ORD146228</t>
  </si>
  <si>
    <t>ORD269430</t>
  </si>
  <si>
    <t>ORD110139</t>
  </si>
  <si>
    <t>ORD137778</t>
  </si>
  <si>
    <t>ORD233636</t>
  </si>
  <si>
    <t>ORD320281</t>
  </si>
  <si>
    <t>ORD348237</t>
  </si>
  <si>
    <t>ORD288073</t>
  </si>
  <si>
    <t>ORD266931</t>
  </si>
  <si>
    <t>ORD333238</t>
  </si>
  <si>
    <t>ORD333752</t>
  </si>
  <si>
    <t>ORD172792</t>
  </si>
  <si>
    <t>ORD447235</t>
  </si>
  <si>
    <t>ORD708792</t>
  </si>
  <si>
    <t>ORD863934</t>
  </si>
  <si>
    <t>ORD704596</t>
  </si>
  <si>
    <t>ORD645175</t>
  </si>
  <si>
    <t>ORD796503</t>
  </si>
  <si>
    <t>ORD631756</t>
  </si>
  <si>
    <t>ORD681343</t>
  </si>
  <si>
    <t>ORD745414</t>
  </si>
  <si>
    <t>ORD400850</t>
  </si>
  <si>
    <t>ORD563246</t>
  </si>
  <si>
    <t>ORD790855</t>
  </si>
  <si>
    <t>ORD958179</t>
  </si>
  <si>
    <t>ORD125611</t>
  </si>
  <si>
    <t>ORD534572</t>
  </si>
  <si>
    <t>ORD519066</t>
  </si>
  <si>
    <t>ORD916232</t>
  </si>
  <si>
    <t>ORD684482</t>
  </si>
  <si>
    <t>ORD800005</t>
  </si>
  <si>
    <t>ORD742412</t>
  </si>
  <si>
    <t>ORD879779</t>
  </si>
  <si>
    <t>ORD903013</t>
  </si>
  <si>
    <t>ORD561239</t>
  </si>
  <si>
    <t>ORD435239</t>
  </si>
  <si>
    <t>ORD501641</t>
  </si>
  <si>
    <t>ORD446954</t>
  </si>
  <si>
    <t>ORD973349</t>
  </si>
  <si>
    <t>ORD600149</t>
  </si>
  <si>
    <t>ORD664365</t>
  </si>
  <si>
    <t>ORD330080</t>
  </si>
  <si>
    <t>ORD452457</t>
  </si>
  <si>
    <t>ORD752483</t>
  </si>
  <si>
    <t>ORD188025</t>
  </si>
  <si>
    <t>ORD152727</t>
  </si>
  <si>
    <t>ORD442722</t>
  </si>
  <si>
    <t>ORD975467</t>
  </si>
  <si>
    <t>ORD335113</t>
  </si>
  <si>
    <t>ORD309044</t>
  </si>
  <si>
    <t>ORD596564</t>
  </si>
  <si>
    <t>ORD904150</t>
  </si>
  <si>
    <t>ORD426147</t>
  </si>
  <si>
    <t>ORD515922</t>
  </si>
  <si>
    <t>ORD831059</t>
  </si>
  <si>
    <t>ORD464069</t>
  </si>
  <si>
    <t>ORD630538</t>
  </si>
  <si>
    <t>ORD210665</t>
  </si>
  <si>
    <t>ORD556641</t>
  </si>
  <si>
    <t>ORD912270</t>
  </si>
  <si>
    <t>ORD993085</t>
  </si>
  <si>
    <t>ORD886931</t>
  </si>
  <si>
    <t>ORD130094</t>
  </si>
  <si>
    <t>ORD472060</t>
  </si>
  <si>
    <t>ORD110644</t>
  </si>
  <si>
    <t>ORD612311</t>
  </si>
  <si>
    <t>ORD569945</t>
  </si>
  <si>
    <t>ORD825391</t>
  </si>
  <si>
    <t>ORD680358</t>
  </si>
  <si>
    <t>ORD836996</t>
  </si>
  <si>
    <t>ORD226516</t>
  </si>
  <si>
    <t>ORD326895</t>
  </si>
  <si>
    <t>ORD973074</t>
  </si>
  <si>
    <t>ORD416950</t>
  </si>
  <si>
    <t>ORD157174</t>
  </si>
  <si>
    <t>ORD207570</t>
  </si>
  <si>
    <t>ORD561865</t>
  </si>
  <si>
    <t>ORD219629</t>
  </si>
  <si>
    <t>ORD259097</t>
  </si>
  <si>
    <t>ORD224205</t>
  </si>
  <si>
    <t>ORD498855</t>
  </si>
  <si>
    <t>ORD696251</t>
  </si>
  <si>
    <t>ORD755900</t>
  </si>
  <si>
    <t>ORD351516</t>
  </si>
  <si>
    <t>ORD528361</t>
  </si>
  <si>
    <t>ORD342720</t>
  </si>
  <si>
    <t>ORD820775</t>
  </si>
  <si>
    <t>ORD220351</t>
  </si>
  <si>
    <t>ORD966785</t>
  </si>
  <si>
    <t>ORD723948</t>
  </si>
  <si>
    <t>ORD822131</t>
  </si>
  <si>
    <t>ORD184349</t>
  </si>
  <si>
    <t>ORD733039</t>
  </si>
  <si>
    <t>ORD901909</t>
  </si>
  <si>
    <t>ORD644173</t>
  </si>
  <si>
    <t>ORD195674</t>
  </si>
  <si>
    <t>ORD802685</t>
  </si>
  <si>
    <t>ORD402218</t>
  </si>
  <si>
    <t>ORD429795</t>
  </si>
  <si>
    <t>ORD964998</t>
  </si>
  <si>
    <t>ORD296694</t>
  </si>
  <si>
    <t>ORD896907</t>
  </si>
  <si>
    <t>ORD559398</t>
  </si>
  <si>
    <t>ORD425845</t>
  </si>
  <si>
    <t>ORD335615</t>
  </si>
  <si>
    <t>ORD851413</t>
  </si>
  <si>
    <t>ORD975271</t>
  </si>
  <si>
    <t>ORD251668</t>
  </si>
  <si>
    <t>ORD389666</t>
  </si>
  <si>
    <t>ORD396578</t>
  </si>
  <si>
    <t>ORD568238</t>
  </si>
  <si>
    <t>ORD899929</t>
  </si>
  <si>
    <t>ORD831380</t>
  </si>
  <si>
    <t>ORD145767</t>
  </si>
  <si>
    <t>ORD795928</t>
  </si>
  <si>
    <t>ORD718849</t>
  </si>
  <si>
    <t>ORD651499</t>
  </si>
  <si>
    <t>ORD786587</t>
  </si>
  <si>
    <t>ORD753534</t>
  </si>
  <si>
    <t>ORD498468</t>
  </si>
  <si>
    <t>ORD346174</t>
  </si>
  <si>
    <t>ORD203225</t>
  </si>
  <si>
    <t>ORD148225</t>
  </si>
  <si>
    <t>ORD551607</t>
  </si>
  <si>
    <t>ORD278240</t>
  </si>
  <si>
    <t>ORD621841</t>
  </si>
  <si>
    <t>ORD581894</t>
  </si>
  <si>
    <t>ORD810526</t>
  </si>
  <si>
    <t>ORD716113</t>
  </si>
  <si>
    <t>ORD986365</t>
  </si>
  <si>
    <t>ORD348728</t>
  </si>
  <si>
    <t>ORD123005</t>
  </si>
  <si>
    <t>ORD973294</t>
  </si>
  <si>
    <t>ORD767542</t>
  </si>
  <si>
    <t>ORD757937</t>
  </si>
  <si>
    <t>ORD707727</t>
  </si>
  <si>
    <t>ORD883790</t>
  </si>
  <si>
    <t>ORD483629</t>
  </si>
  <si>
    <t>ORD369452</t>
  </si>
  <si>
    <t>ORD591081</t>
  </si>
  <si>
    <t>ORD986827</t>
  </si>
  <si>
    <t>ORD377304</t>
  </si>
  <si>
    <t>ORD712955</t>
  </si>
  <si>
    <t>ORD126240</t>
  </si>
  <si>
    <t>ORD766269</t>
  </si>
  <si>
    <t>ORD246566</t>
  </si>
  <si>
    <t>ORD201913</t>
  </si>
  <si>
    <t>ORD489033</t>
  </si>
  <si>
    <t>ORD786735</t>
  </si>
  <si>
    <t>ORD134305</t>
  </si>
  <si>
    <t>ORD997004</t>
  </si>
  <si>
    <t>ORD776149</t>
  </si>
  <si>
    <t>ORD228093</t>
  </si>
  <si>
    <t>ORD153035</t>
  </si>
  <si>
    <t>ORD970127</t>
  </si>
  <si>
    <t>ORD444519</t>
  </si>
  <si>
    <t>ORD236306</t>
  </si>
  <si>
    <t>ORD793169</t>
  </si>
  <si>
    <t>ORD717457</t>
  </si>
  <si>
    <t>ORD232915</t>
  </si>
  <si>
    <t>ORD570050</t>
  </si>
  <si>
    <t>ORD628313</t>
  </si>
  <si>
    <t>ORD774591</t>
  </si>
  <si>
    <t>ORD819425</t>
  </si>
  <si>
    <t>ORD184714</t>
  </si>
  <si>
    <t>ORD388375</t>
  </si>
  <si>
    <t>ORD726410</t>
  </si>
  <si>
    <t>ORD931621</t>
  </si>
  <si>
    <t>ORD573489</t>
  </si>
  <si>
    <t>ORD536196</t>
  </si>
  <si>
    <t>ORD492483</t>
  </si>
  <si>
    <t>ORD197758</t>
  </si>
  <si>
    <t>ORD683397</t>
  </si>
  <si>
    <t>ORD530764</t>
  </si>
  <si>
    <t>ORD729575</t>
  </si>
  <si>
    <t>ORD788637</t>
  </si>
  <si>
    <t>ORD986438</t>
  </si>
  <si>
    <t>ORD946432</t>
  </si>
  <si>
    <t>ORD130359</t>
  </si>
  <si>
    <t>ORD468074</t>
  </si>
  <si>
    <t>ORD172965</t>
  </si>
  <si>
    <t>ORD540226</t>
  </si>
  <si>
    <t>ORD856648</t>
  </si>
  <si>
    <t>ORD263137</t>
  </si>
  <si>
    <t>ORD564637</t>
  </si>
  <si>
    <t>ORD386436</t>
  </si>
  <si>
    <t>ORD216276</t>
  </si>
  <si>
    <t>ORD331230</t>
  </si>
  <si>
    <t>ORD416061</t>
  </si>
  <si>
    <t>ORD444061</t>
  </si>
  <si>
    <t>ORD235461</t>
  </si>
  <si>
    <t>ORD685864</t>
  </si>
  <si>
    <t>ORD119651</t>
  </si>
  <si>
    <t>ORD701253</t>
  </si>
  <si>
    <t>ORD121869</t>
  </si>
  <si>
    <t>ORD192410</t>
  </si>
  <si>
    <t>ORD649414</t>
  </si>
  <si>
    <t>ORD332335</t>
  </si>
  <si>
    <t>ORD634723</t>
  </si>
  <si>
    <t>ORD207798</t>
  </si>
  <si>
    <t>ORD897143</t>
  </si>
  <si>
    <t>ORD891093</t>
  </si>
  <si>
    <t>ORD258290</t>
  </si>
  <si>
    <t>ORD935012</t>
  </si>
  <si>
    <t>ORD177794</t>
  </si>
  <si>
    <t>ORD486649</t>
  </si>
  <si>
    <t>ORD503159</t>
  </si>
  <si>
    <t>ORD949153</t>
  </si>
  <si>
    <t>ORD258189</t>
  </si>
  <si>
    <t>ORD629057</t>
  </si>
  <si>
    <t>ORD649525</t>
  </si>
  <si>
    <t>ORD396635</t>
  </si>
  <si>
    <t>ORD927564</t>
  </si>
  <si>
    <t>ORD811332</t>
  </si>
  <si>
    <t>ORD185461</t>
  </si>
  <si>
    <t>ORD787923</t>
  </si>
  <si>
    <t>ORD686072</t>
  </si>
  <si>
    <t>ORD197992</t>
  </si>
  <si>
    <t>ORD423869</t>
  </si>
  <si>
    <t>ORD337547</t>
  </si>
  <si>
    <t>ORD632351</t>
  </si>
  <si>
    <t>ORD726258</t>
  </si>
  <si>
    <t>ORD856215</t>
  </si>
  <si>
    <t>ORD565776</t>
  </si>
  <si>
    <t>ORD659951</t>
  </si>
  <si>
    <t>ORD485709</t>
  </si>
  <si>
    <t>ORD627335</t>
  </si>
  <si>
    <t>ORD362147</t>
  </si>
  <si>
    <t>ORD207573</t>
  </si>
  <si>
    <t>ORD386042</t>
  </si>
  <si>
    <t>ORD332823</t>
  </si>
  <si>
    <t>ORD155843</t>
  </si>
  <si>
    <t>ORD185569</t>
  </si>
  <si>
    <t>ORD979940</t>
  </si>
  <si>
    <t>ORD970068</t>
  </si>
  <si>
    <t>ORD745239</t>
  </si>
  <si>
    <t>event</t>
  </si>
  <si>
    <t>user_id</t>
  </si>
  <si>
    <t>timestamp</t>
  </si>
  <si>
    <t>conversion</t>
  </si>
  <si>
    <t>user_8381</t>
  </si>
  <si>
    <t>user_7150</t>
  </si>
  <si>
    <t>cta_click</t>
  </si>
  <si>
    <t>user_2404</t>
  </si>
  <si>
    <t>checkout_initiate</t>
  </si>
  <si>
    <t>user_2204</t>
  </si>
  <si>
    <t>user_7225</t>
  </si>
  <si>
    <t>user_6188</t>
  </si>
  <si>
    <t>form_submit</t>
  </si>
  <si>
    <t>user_1085</t>
  </si>
  <si>
    <t>user_5419</t>
  </si>
  <si>
    <t>user_4070</t>
  </si>
  <si>
    <t>user_2692</t>
  </si>
  <si>
    <t>user_2524</t>
  </si>
  <si>
    <t>user_1202</t>
  </si>
  <si>
    <t>user_2387</t>
  </si>
  <si>
    <t>user_9537</t>
  </si>
  <si>
    <t>user_3274</t>
  </si>
  <si>
    <t>user_9079</t>
  </si>
  <si>
    <t>user_8121</t>
  </si>
  <si>
    <t>user_8933</t>
  </si>
  <si>
    <t>user_5123</t>
  </si>
  <si>
    <t>user_8501</t>
  </si>
  <si>
    <t>user_1110</t>
  </si>
  <si>
    <t>user_6399</t>
  </si>
  <si>
    <t>user_3230</t>
  </si>
  <si>
    <t>user_8848</t>
  </si>
  <si>
    <t>user_6228</t>
  </si>
  <si>
    <t>user_6339</t>
  </si>
  <si>
    <t>user_6980</t>
  </si>
  <si>
    <t>user_1440</t>
  </si>
  <si>
    <t>user_8183</t>
  </si>
  <si>
    <t>user_7703</t>
  </si>
  <si>
    <t>user_5961</t>
  </si>
  <si>
    <t>user_7932</t>
  </si>
  <si>
    <t>user_8357</t>
  </si>
  <si>
    <t>user_9755</t>
  </si>
  <si>
    <t>user_6890</t>
  </si>
  <si>
    <t>user_2791</t>
  </si>
  <si>
    <t>user_3725</t>
  </si>
  <si>
    <t>user_6432</t>
  </si>
  <si>
    <t>user_1172</t>
  </si>
  <si>
    <t>user_9366</t>
  </si>
  <si>
    <t>user_8303</t>
  </si>
  <si>
    <t>user_9199</t>
  </si>
  <si>
    <t>user_8909</t>
  </si>
  <si>
    <t>user_2406</t>
  </si>
  <si>
    <t>user_6110</t>
  </si>
  <si>
    <t>user_2599</t>
  </si>
  <si>
    <t>user_2100</t>
  </si>
  <si>
    <t>user_1370</t>
  </si>
  <si>
    <t>user_3692</t>
  </si>
  <si>
    <t>user_3623</t>
  </si>
  <si>
    <t>user_8570</t>
  </si>
  <si>
    <t>user_4053</t>
  </si>
  <si>
    <t>user_1478</t>
  </si>
  <si>
    <t>user_8037</t>
  </si>
  <si>
    <t>user_4371</t>
  </si>
  <si>
    <t>user_9796</t>
  </si>
  <si>
    <t>user_4228</t>
  </si>
  <si>
    <t>user_9019</t>
  </si>
  <si>
    <t>user_7431</t>
  </si>
  <si>
    <t>user_6766</t>
  </si>
  <si>
    <t>user_5873</t>
  </si>
  <si>
    <t>user_6131</t>
  </si>
  <si>
    <t>user_2916</t>
  </si>
  <si>
    <t>user_9369</t>
  </si>
  <si>
    <t>user_7286</t>
  </si>
  <si>
    <t>user_9804</t>
  </si>
  <si>
    <t>user_9022</t>
  </si>
  <si>
    <t>user_6154</t>
  </si>
  <si>
    <t>user_6882</t>
  </si>
  <si>
    <t>user_4196</t>
  </si>
  <si>
    <t>user_8272</t>
  </si>
  <si>
    <t>user_1505</t>
  </si>
  <si>
    <t>user_1535</t>
  </si>
  <si>
    <t>user_3755</t>
  </si>
  <si>
    <t>user_9898</t>
  </si>
  <si>
    <t>user_8231</t>
  </si>
  <si>
    <t>user_2677</t>
  </si>
  <si>
    <t>user_1528</t>
  </si>
  <si>
    <t>user_2425</t>
  </si>
  <si>
    <t>user_4438</t>
  </si>
  <si>
    <t>user_3719</t>
  </si>
  <si>
    <t>user_4390</t>
  </si>
  <si>
    <t>user_9720</t>
  </si>
  <si>
    <t>user_6302</t>
  </si>
  <si>
    <t>user_5380</t>
  </si>
  <si>
    <t>user_3221</t>
  </si>
  <si>
    <t>user_5543</t>
  </si>
  <si>
    <t>user_5090</t>
  </si>
  <si>
    <t>user_7434</t>
  </si>
  <si>
    <t>user_7786</t>
  </si>
  <si>
    <t>user_2525</t>
  </si>
  <si>
    <t>user_7046</t>
  </si>
  <si>
    <t>user_1040</t>
  </si>
  <si>
    <t>user_6869</t>
  </si>
  <si>
    <t>user_4568</t>
  </si>
  <si>
    <t>user_5399</t>
  </si>
  <si>
    <t>user_9967</t>
  </si>
  <si>
    <t>user_6631</t>
  </si>
  <si>
    <t>user_2631</t>
  </si>
  <si>
    <t>user_3035</t>
  </si>
  <si>
    <t>user_8479</t>
  </si>
  <si>
    <t>user_3161</t>
  </si>
  <si>
    <t>user_5489</t>
  </si>
  <si>
    <t>user_2350</t>
  </si>
  <si>
    <t>user_7493</t>
  </si>
  <si>
    <t>user_8032</t>
  </si>
  <si>
    <t>user_1017</t>
  </si>
  <si>
    <t>user_3174</t>
  </si>
  <si>
    <t>user_1152</t>
  </si>
  <si>
    <t>user_7919</t>
  </si>
  <si>
    <t>user_2160</t>
  </si>
  <si>
    <t>user_2678</t>
  </si>
  <si>
    <t>user_5902</t>
  </si>
  <si>
    <t>user_3340</t>
  </si>
  <si>
    <t>user_3688</t>
  </si>
  <si>
    <t>user_3480</t>
  </si>
  <si>
    <t>user_4559</t>
  </si>
  <si>
    <t>user_3017</t>
  </si>
  <si>
    <t>user_8035</t>
  </si>
  <si>
    <t>user_5537</t>
  </si>
  <si>
    <t>user_5668</t>
  </si>
  <si>
    <t>user_4366</t>
  </si>
  <si>
    <t>user_7418</t>
  </si>
  <si>
    <t>user_9108</t>
  </si>
  <si>
    <t>user_9185</t>
  </si>
  <si>
    <t>user_6916</t>
  </si>
  <si>
    <t>user_7337</t>
  </si>
  <si>
    <t>user_9951</t>
  </si>
  <si>
    <t>user_2195</t>
  </si>
  <si>
    <t>user_5295</t>
  </si>
  <si>
    <t>user_7520</t>
  </si>
  <si>
    <t>user_7939</t>
  </si>
  <si>
    <t>user_9791</t>
  </si>
  <si>
    <t>user_2369</t>
  </si>
  <si>
    <t>user_3545</t>
  </si>
  <si>
    <t>user_2083</t>
  </si>
  <si>
    <t>user_1948</t>
  </si>
  <si>
    <t>user_2900</t>
  </si>
  <si>
    <t>user_3877</t>
  </si>
  <si>
    <t>user_1185</t>
  </si>
  <si>
    <t>user_9568</t>
  </si>
  <si>
    <t>user_7092</t>
  </si>
  <si>
    <t>user_1480</t>
  </si>
  <si>
    <t>user_9582</t>
  </si>
  <si>
    <t>user_9128</t>
  </si>
  <si>
    <t>user_1908</t>
  </si>
  <si>
    <t>user_3577</t>
  </si>
  <si>
    <t>user_4742</t>
  </si>
  <si>
    <t>user_1721</t>
  </si>
  <si>
    <t>user_1753</t>
  </si>
  <si>
    <t>user_3458</t>
  </si>
  <si>
    <t>user_4678</t>
  </si>
  <si>
    <t>user_6241</t>
  </si>
  <si>
    <t>user_2956</t>
  </si>
  <si>
    <t>user_4656</t>
  </si>
  <si>
    <t>user_7568</t>
  </si>
  <si>
    <t>user_6090</t>
  </si>
  <si>
    <t>user_1130</t>
  </si>
  <si>
    <t>user_5979</t>
  </si>
  <si>
    <t>user_7033</t>
  </si>
  <si>
    <t>user_9954</t>
  </si>
  <si>
    <t>user_1104</t>
  </si>
  <si>
    <t>user_4817</t>
  </si>
  <si>
    <t>user_6488</t>
  </si>
  <si>
    <t>user_2703</t>
  </si>
  <si>
    <t>user_7878</t>
  </si>
  <si>
    <t>user_5584</t>
  </si>
  <si>
    <t>user_9515</t>
  </si>
  <si>
    <t>user_2391</t>
  </si>
  <si>
    <t>user_7461</t>
  </si>
  <si>
    <t>user_3141</t>
  </si>
  <si>
    <t>user_6161</t>
  </si>
  <si>
    <t>user_6211</t>
  </si>
  <si>
    <t>user_2223</t>
  </si>
  <si>
    <t>user_3546</t>
  </si>
  <si>
    <t>user_8635</t>
  </si>
  <si>
    <t>user_9780</t>
  </si>
  <si>
    <t>user_6051</t>
  </si>
  <si>
    <t>user_2481</t>
  </si>
  <si>
    <t>user_4522</t>
  </si>
  <si>
    <t>user_2494</t>
  </si>
  <si>
    <t>user_7492</t>
  </si>
  <si>
    <t>user_5262</t>
  </si>
  <si>
    <t>user_7625</t>
  </si>
  <si>
    <t>user_2551</t>
  </si>
  <si>
    <t>user_2989</t>
  </si>
  <si>
    <t>user_2376</t>
  </si>
  <si>
    <t>user_1357</t>
  </si>
  <si>
    <t>user_3110</t>
  </si>
  <si>
    <t>user_1699</t>
  </si>
  <si>
    <t>user_8096</t>
  </si>
  <si>
    <t>user_1483</t>
  </si>
  <si>
    <t>user_6799</t>
  </si>
  <si>
    <t>user_5585</t>
  </si>
  <si>
    <t>user_5026</t>
  </si>
  <si>
    <t>user_7750</t>
  </si>
  <si>
    <t>user_1999</t>
  </si>
  <si>
    <t>user_3248</t>
  </si>
  <si>
    <t>user_9907</t>
  </si>
  <si>
    <t>user_6883</t>
  </si>
  <si>
    <t>user_6636</t>
  </si>
  <si>
    <t>user_7363</t>
  </si>
  <si>
    <t>user_6224</t>
  </si>
  <si>
    <t>user_5602</t>
  </si>
  <si>
    <t>user_4813</t>
  </si>
  <si>
    <t>user_4951</t>
  </si>
  <si>
    <t>user_4594</t>
  </si>
  <si>
    <t>user_3846</t>
  </si>
  <si>
    <t>user_6878</t>
  </si>
  <si>
    <t>user_3328</t>
  </si>
  <si>
    <t>user_9882</t>
  </si>
  <si>
    <t>user_1621</t>
  </si>
  <si>
    <t>user_4584</t>
  </si>
  <si>
    <t>user_1011</t>
  </si>
  <si>
    <t>user_6582</t>
  </si>
  <si>
    <t>user_1975</t>
  </si>
  <si>
    <t>user_2817</t>
  </si>
  <si>
    <t>user_2188</t>
  </si>
  <si>
    <t>user_6514</t>
  </si>
  <si>
    <t>user_3580</t>
  </si>
  <si>
    <t>user_6198</t>
  </si>
  <si>
    <t>user_4657</t>
  </si>
  <si>
    <t>user_6026</t>
  </si>
  <si>
    <t>user_3911</t>
  </si>
  <si>
    <t>user_1530</t>
  </si>
  <si>
    <t>user_2705</t>
  </si>
  <si>
    <t>user_6425</t>
  </si>
  <si>
    <t>user_6682</t>
  </si>
  <si>
    <t>user_6500</t>
  </si>
  <si>
    <t>user_4435</t>
  </si>
  <si>
    <t>user_5205</t>
  </si>
  <si>
    <t>user_1788</t>
  </si>
  <si>
    <t>user_7204</t>
  </si>
  <si>
    <t>user_2661</t>
  </si>
  <si>
    <t>user_3664</t>
  </si>
  <si>
    <t>user_5831</t>
  </si>
  <si>
    <t>user_2715</t>
  </si>
  <si>
    <t>user_7151</t>
  </si>
  <si>
    <t>user_6536</t>
  </si>
  <si>
    <t>user_8066</t>
  </si>
  <si>
    <t>user_3573</t>
  </si>
  <si>
    <t>user_4367</t>
  </si>
  <si>
    <t>user_5612</t>
  </si>
  <si>
    <t>user_1813</t>
  </si>
  <si>
    <t>user_3516</t>
  </si>
  <si>
    <t>user_8005</t>
  </si>
  <si>
    <t>user_4271</t>
  </si>
  <si>
    <t>user_3798</t>
  </si>
  <si>
    <t>user_8758</t>
  </si>
  <si>
    <t>user_7512</t>
  </si>
  <si>
    <t>user_2493</t>
  </si>
  <si>
    <t>user_4029</t>
  </si>
  <si>
    <t>user_4056</t>
  </si>
  <si>
    <t>user_8204</t>
  </si>
  <si>
    <t>user_5400</t>
  </si>
  <si>
    <t>user_2584</t>
  </si>
  <si>
    <t>user_4727</t>
  </si>
  <si>
    <t>user_9561</t>
  </si>
  <si>
    <t>user_4860</t>
  </si>
  <si>
    <t>user_7468</t>
  </si>
  <si>
    <t>user_2970</t>
  </si>
  <si>
    <t>user_3738</t>
  </si>
  <si>
    <t>user_4308</t>
  </si>
  <si>
    <t>user_6238</t>
  </si>
  <si>
    <t>user_7358</t>
  </si>
  <si>
    <t>user_5525</t>
  </si>
  <si>
    <t>user_7790</t>
  </si>
  <si>
    <t>user_2730</t>
  </si>
  <si>
    <t>user_9775</t>
  </si>
  <si>
    <t>user_5327</t>
  </si>
  <si>
    <t>user_1613</t>
  </si>
  <si>
    <t>user_3356</t>
  </si>
  <si>
    <t>user_7484</t>
  </si>
  <si>
    <t>user_1807</t>
  </si>
  <si>
    <t>user_7102</t>
  </si>
  <si>
    <t>user_6094</t>
  </si>
  <si>
    <t>user_4734</t>
  </si>
  <si>
    <t>user_6257</t>
  </si>
  <si>
    <t>user_4079</t>
  </si>
  <si>
    <t>user_8937</t>
  </si>
  <si>
    <t>user_1920</t>
  </si>
  <si>
    <t>user_6097</t>
  </si>
  <si>
    <t>user_3222</t>
  </si>
  <si>
    <t>user_5087</t>
  </si>
  <si>
    <t>user_6904</t>
  </si>
  <si>
    <t>user_7035</t>
  </si>
  <si>
    <t>user_3029</t>
  </si>
  <si>
    <t>user_8775</t>
  </si>
  <si>
    <t>user_6640</t>
  </si>
  <si>
    <t>user_5670</t>
  </si>
  <si>
    <t>user_3669</t>
  </si>
  <si>
    <t>user_4688</t>
  </si>
  <si>
    <t>user_7709</t>
  </si>
  <si>
    <t>user_8767</t>
  </si>
  <si>
    <t>user_1138</t>
  </si>
  <si>
    <t>user_5511</t>
  </si>
  <si>
    <t>user_8520</t>
  </si>
  <si>
    <t>user_5950</t>
  </si>
  <si>
    <t>user_2676</t>
  </si>
  <si>
    <t>user_5631</t>
  </si>
  <si>
    <t>user_2045</t>
  </si>
  <si>
    <t>user_5536</t>
  </si>
  <si>
    <t>user_3456</t>
  </si>
  <si>
    <t>user_7620</t>
  </si>
  <si>
    <t>user_1417</t>
  </si>
  <si>
    <t>user_5250</t>
  </si>
  <si>
    <t>user_7361</t>
  </si>
  <si>
    <t>user_6622</t>
  </si>
  <si>
    <t>user_6873</t>
  </si>
  <si>
    <t>user_3967</t>
  </si>
  <si>
    <t>user_3096</t>
  </si>
  <si>
    <t>user_6499</t>
  </si>
  <si>
    <t>user_6820</t>
  </si>
  <si>
    <t>user_6428</t>
  </si>
  <si>
    <t>user_8598</t>
  </si>
  <si>
    <t>user_1879</t>
  </si>
  <si>
    <t>user_4187</t>
  </si>
  <si>
    <t>user_9680</t>
  </si>
  <si>
    <t>user_3470</t>
  </si>
  <si>
    <t>user_7704</t>
  </si>
  <si>
    <t>user_6183</t>
  </si>
  <si>
    <t>user_8988</t>
  </si>
  <si>
    <t>user_1950</t>
  </si>
  <si>
    <t>user_4430</t>
  </si>
  <si>
    <t>user_9021</t>
  </si>
  <si>
    <t>user_8105</t>
  </si>
  <si>
    <t>user_8029</t>
  </si>
  <si>
    <t>user_1618</t>
  </si>
  <si>
    <t>user_1230</t>
  </si>
  <si>
    <t>user_1293</t>
  </si>
  <si>
    <t>user_4707</t>
  </si>
  <si>
    <t>user_3112</t>
  </si>
  <si>
    <t>user_3736</t>
  </si>
  <si>
    <t>user_5764</t>
  </si>
  <si>
    <t>user_9031</t>
  </si>
  <si>
    <t>user_7609</t>
  </si>
  <si>
    <t>user_3149</t>
  </si>
  <si>
    <t>user_5190</t>
  </si>
  <si>
    <t>user_1785</t>
  </si>
  <si>
    <t>user_1790</t>
  </si>
  <si>
    <t>user_8279</t>
  </si>
  <si>
    <t>user_8772</t>
  </si>
  <si>
    <t>user_9524</t>
  </si>
  <si>
    <t>user_2718</t>
  </si>
  <si>
    <t>user_2867</t>
  </si>
  <si>
    <t>user_4254</t>
  </si>
  <si>
    <t>user_9571</t>
  </si>
  <si>
    <t>user_5839</t>
  </si>
  <si>
    <t>user_4402</t>
  </si>
  <si>
    <t>user_4842</t>
  </si>
  <si>
    <t>user_2809</t>
  </si>
  <si>
    <t>user_2475</t>
  </si>
  <si>
    <t>user_2659</t>
  </si>
  <si>
    <t>user_8483</t>
  </si>
  <si>
    <t>user_1820</t>
  </si>
  <si>
    <t>user_5760</t>
  </si>
  <si>
    <t>user_2898</t>
  </si>
  <si>
    <t>user_3267</t>
  </si>
  <si>
    <t>user_6857</t>
  </si>
  <si>
    <t>user_2522</t>
  </si>
  <si>
    <t>user_2865</t>
  </si>
  <si>
    <t>user_5453</t>
  </si>
  <si>
    <t>user_7909</t>
  </si>
  <si>
    <t>user_3171</t>
  </si>
  <si>
    <t>user_2699</t>
  </si>
  <si>
    <t>user_3969</t>
  </si>
  <si>
    <t>user_1472</t>
  </si>
  <si>
    <t>user_8997</t>
  </si>
  <si>
    <t>user_6542</t>
  </si>
  <si>
    <t>user_8091</t>
  </si>
  <si>
    <t>user_6664</t>
  </si>
  <si>
    <t>user_1894</t>
  </si>
  <si>
    <t>user_9123</t>
  </si>
  <si>
    <t>user_9055</t>
  </si>
  <si>
    <t>user_5557</t>
  </si>
  <si>
    <t>user_7203</t>
  </si>
  <si>
    <t>user_8521</t>
  </si>
  <si>
    <t>user_9166</t>
  </si>
  <si>
    <t>user_9148</t>
  </si>
  <si>
    <t>user_2489</t>
  </si>
  <si>
    <t>user_8474</t>
  </si>
  <si>
    <t>user_4652</t>
  </si>
  <si>
    <t>user_8751</t>
  </si>
  <si>
    <t>user_2868</t>
  </si>
  <si>
    <t>user_6592</t>
  </si>
  <si>
    <t>user_2741</t>
  </si>
  <si>
    <t>user_3301</t>
  </si>
  <si>
    <t>user_5166</t>
  </si>
  <si>
    <t>user_2978</t>
  </si>
  <si>
    <t>user_8488</t>
  </si>
  <si>
    <t>user_2765</t>
  </si>
  <si>
    <t>user_3018</t>
  </si>
  <si>
    <t>user_9260</t>
  </si>
  <si>
    <t>user_9689</t>
  </si>
  <si>
    <t>user_8912</t>
  </si>
  <si>
    <t>user_3845</t>
  </si>
  <si>
    <t>user_7347</t>
  </si>
  <si>
    <t>user_7859</t>
  </si>
  <si>
    <t>user_7518</t>
  </si>
  <si>
    <t>user_3185</t>
  </si>
  <si>
    <t>user_9975</t>
  </si>
  <si>
    <t>user_4291</t>
  </si>
  <si>
    <t>user_3173</t>
  </si>
  <si>
    <t>user_2890</t>
  </si>
  <si>
    <t>user_7839</t>
  </si>
  <si>
    <t>user_7920</t>
  </si>
  <si>
    <t>user_1414</t>
  </si>
  <si>
    <t>user_1927</t>
  </si>
  <si>
    <t>user_5695</t>
  </si>
  <si>
    <t>user_2016</t>
  </si>
  <si>
    <t>user_9866</t>
  </si>
  <si>
    <t>user_2679</t>
  </si>
  <si>
    <t>user_7371</t>
  </si>
  <si>
    <t>user_1769</t>
  </si>
  <si>
    <t>user_7825</t>
  </si>
  <si>
    <t>user_1212</t>
  </si>
  <si>
    <t>user_8259</t>
  </si>
  <si>
    <t>user_9955</t>
  </si>
  <si>
    <t>user_5819</t>
  </si>
  <si>
    <t>user_4063</t>
  </si>
  <si>
    <t>user_7180</t>
  </si>
  <si>
    <t>user_5329</t>
  </si>
  <si>
    <t>user_1092</t>
  </si>
  <si>
    <t>user_1654</t>
  </si>
  <si>
    <t>user_5934</t>
  </si>
  <si>
    <t>user_2194</t>
  </si>
  <si>
    <t>user_4012</t>
  </si>
  <si>
    <t>user_7814</t>
  </si>
  <si>
    <t>user_2506</t>
  </si>
  <si>
    <t>user_6437</t>
  </si>
  <si>
    <t>user_4579</t>
  </si>
  <si>
    <t>user_1144</t>
  </si>
  <si>
    <t>user_4937</t>
  </si>
  <si>
    <t>user_6258</t>
  </si>
  <si>
    <t>user_5203</t>
  </si>
  <si>
    <t>user_9468</t>
  </si>
  <si>
    <t>user_8975</t>
  </si>
  <si>
    <t>user_6248</t>
  </si>
  <si>
    <t>user_3742</t>
  </si>
  <si>
    <t>user_2072</t>
  </si>
  <si>
    <t>user_2702</t>
  </si>
  <si>
    <t>user_2181</t>
  </si>
  <si>
    <t>user_8523</t>
  </si>
  <si>
    <t>user_2433</t>
  </si>
  <si>
    <t>user_5127</t>
  </si>
  <si>
    <t>user_5237</t>
  </si>
  <si>
    <t>user_7626</t>
  </si>
  <si>
    <t>user_7381</t>
  </si>
  <si>
    <t>user_2036</t>
  </si>
  <si>
    <t>user_6860</t>
  </si>
  <si>
    <t>user_5748</t>
  </si>
  <si>
    <t>user_7473</t>
  </si>
  <si>
    <t>user_3561</t>
  </si>
  <si>
    <t>user_7406</t>
  </si>
  <si>
    <t>user_3360</t>
  </si>
  <si>
    <t>user_3316</t>
  </si>
  <si>
    <t>user_7456</t>
  </si>
  <si>
    <t>user_5992</t>
  </si>
  <si>
    <t>user_7760</t>
  </si>
  <si>
    <t>user_3637</t>
  </si>
  <si>
    <t>user_4183</t>
  </si>
  <si>
    <t>user_9992</t>
  </si>
  <si>
    <t>user_5762</t>
  </si>
  <si>
    <t>user_2608</t>
  </si>
  <si>
    <t>user_6851</t>
  </si>
  <si>
    <t>user_5671</t>
  </si>
  <si>
    <t>user_6206</t>
  </si>
  <si>
    <t>user_6008</t>
  </si>
  <si>
    <t>user_6182</t>
  </si>
  <si>
    <t>user_5533</t>
  </si>
  <si>
    <t>user_8296</t>
  </si>
  <si>
    <t>user_2783</t>
  </si>
  <si>
    <t>user_3293</t>
  </si>
  <si>
    <t>user_5312</t>
  </si>
  <si>
    <t>user_1305</t>
  </si>
  <si>
    <t>user_7637</t>
  </si>
  <si>
    <t>user_5269</t>
  </si>
  <si>
    <t>user_3435</t>
  </si>
  <si>
    <t>user_5767</t>
  </si>
  <si>
    <t>user_7500</t>
  </si>
  <si>
    <t>user_4913</t>
  </si>
  <si>
    <t>user_8310</t>
  </si>
  <si>
    <t>is_new_site</t>
  </si>
  <si>
    <t>source</t>
  </si>
  <si>
    <t>sessions</t>
  </si>
  <si>
    <t>people_also_ask</t>
  </si>
  <si>
    <t>featured_snippet</t>
  </si>
  <si>
    <t>referral</t>
  </si>
  <si>
    <t>paid</t>
  </si>
  <si>
    <t>organic</t>
  </si>
  <si>
    <t>ai_overview</t>
  </si>
  <si>
    <t>direct</t>
  </si>
  <si>
    <t>Site</t>
  </si>
  <si>
    <t>Абс. приріст</t>
  </si>
  <si>
    <t>Відн. приріст %</t>
  </si>
  <si>
    <t>Попер. 15д</t>
  </si>
  <si>
    <t>Останні 15д</t>
  </si>
  <si>
    <t>Приріст %</t>
  </si>
  <si>
    <t>Рейтинг</t>
  </si>
  <si>
    <t>Дані охоплюють лише 30 днів (01/06/2025 - 30/06/2025). Як найближче наближення використано:</t>
  </si>
  <si>
    <t>• Попередній період: 01/06/2025 - 15/06/2025 (15 днів)</t>
  </si>
  <si>
    <t>• Останній період: 16/06/2025 - 30/06/2025 (15 днів)</t>
  </si>
  <si>
    <t>Попер. 15д*</t>
  </si>
  <si>
    <t>Останні 15д*</t>
  </si>
  <si>
    <t>Приріст %*</t>
  </si>
  <si>
    <t>Попер. 15д**</t>
  </si>
  <si>
    <t>Останні 15д**</t>
  </si>
  <si>
    <t>Приріст %**</t>
  </si>
  <si>
    <t>1.1 Рейтинг сайтів за відносним приростом (від найбільшого до найменшого). Лише з джерел: ai_overview, ai_overview, people_also_ask.</t>
  </si>
  <si>
    <t>1.2 Розбивка по кожному AI-джерелу окремо</t>
  </si>
  <si>
    <t>Кількість трафіку за 30д</t>
  </si>
  <si>
    <t>Правило: для essayhubpro.net, paperwise.co, editgenius.net у регіоні US враховуються лише нові клієнти (is_new_customer = TRUE).</t>
  </si>
  <si>
    <t>2.1 Підсумок по сайтах</t>
  </si>
  <si>
    <t>Кількість замовлень</t>
  </si>
  <si>
    <t>Сума ($)</t>
  </si>
  <si>
    <t>2.2 Підсумок по регіонах</t>
  </si>
  <si>
    <t>Region</t>
  </si>
  <si>
    <t>Кількість</t>
  </si>
  <si>
    <t>2.3 Матриця суми продажів: сайт × регіон ($)</t>
  </si>
  <si>
    <t>Разом</t>
  </si>
  <si>
    <t>2.4 Дохід по днях</t>
  </si>
  <si>
    <t>Дата</t>
  </si>
  <si>
    <t>1. AI-джерела трафіку: останні 15 днів vs попередні 15 днів</t>
  </si>
  <si>
    <t>2. Продажі: кількість і сума по сайтах та регіонах</t>
  </si>
  <si>
    <t>3.1 Кількість подій conversion по сайтах (від найбільшої)</t>
  </si>
  <si>
    <t>Всього подій</t>
  </si>
  <si>
    <t>3.2 Сайти без жодної події conversion</t>
  </si>
  <si>
    <t>3.3 Критично важливі події для розуміння воронки (від візиту до замовлення)</t>
  </si>
  <si>
    <t>Етап</t>
  </si>
  <si>
    <t>Подія</t>
  </si>
  <si>
    <t>Шо показує</t>
  </si>
  <si>
    <t>Чи є в даних?</t>
  </si>
  <si>
    <t>1. Прихід</t>
  </si>
  <si>
    <t>page_view / session_start</t>
  </si>
  <si>
    <t>Скільки відвідувачів взагалі заходять на сайт (вхід у воронку)</t>
  </si>
  <si>
    <t>Ні (лише traffic_sources дає sessions)</t>
  </si>
  <si>
    <t>2. Інтерес</t>
  </si>
  <si>
    <t>Клік по CTA — перехід від пасивного перегляду до дії</t>
  </si>
  <si>
    <t>Так</t>
  </si>
  <si>
    <t>3. Намір</t>
  </si>
  <si>
    <t>Заповнив форму (бриф, лід, реєстрація) — перехід від інтересу до наміру</t>
  </si>
  <si>
    <t>4. Рішення</t>
  </si>
  <si>
    <t>Додав у кошик / розпочав оформлення — хоче купити</t>
  </si>
  <si>
    <t>5. Оплата</t>
  </si>
  <si>
    <t>conversion (= order)</t>
  </si>
  <si>
    <t>Успішна оплата — фінальна точка воронки</t>
  </si>
  <si>
    <t>Не вистачає для повної воронки:</t>
  </si>
  <si>
    <t>• page_view / session_start — без нього не можна порахувати вхід у воронку (є лише агреговані sessions у traffic_sources)</t>
  </si>
  <si>
    <t>• add_to_cart / view_product — мікро-конверсії між cta_click і checkout_initiate</t>
  </si>
  <si>
    <t>• form_view (перегляд форми) — щоб виміряти abandonment rate</t>
  </si>
  <si>
    <t>• payment_failed / checkout_abandon — втрата у фіналі воронки</t>
  </si>
  <si>
    <t>• зв'язок user_id → order_id (зараз user_id є лише в site_event_log, order є без user_id — не можна побудувати фул-воронку)</t>
  </si>
  <si>
    <t>3. Аналіз подій сайтів: conversion та поведінкова воронка</t>
  </si>
  <si>
    <t>Усі 9 сайтів мають хоча б одну подію conversion (мінімум — nursingessay.us: 7).</t>
  </si>
  <si>
    <t>AI-трафік (день)</t>
  </si>
  <si>
    <t>Кумулятивно</t>
  </si>
  <si>
    <t>Total</t>
  </si>
  <si>
    <t>1.3 Кумулятивний приріст AI-трафіку (ai_overview + featured_snippet + people_also_ask)</t>
  </si>
  <si>
    <t>Conv. rate 2</t>
  </si>
  <si>
    <t>Conv.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</si>
</sst>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UAH&quot;_-;\-* #,##0.00\ &quot;UAH&quot;_-;_-* &quot;-&quot;??\ &quot;UAH&quot;_-;_-@_-"/>
    <numFmt numFmtId="164" formatCode="0.0%"/>
    <numFmt numFmtId="165" formatCode="#,##0;\(#,##0\);\-"/>
    <numFmt numFmtId="166" formatCode="[$$-409]#,##0.00"/>
  </numFmts>
  <fonts count="2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 (Body)"/>
    </font>
    <font>
      <b/>
      <sz val="18"/>
      <color theme="1"/>
      <name val="Aptos Narrow (Body)"/>
    </font>
    <font>
      <b/>
      <sz val="12"/>
      <color theme="3"/>
      <name val="Aptos Narrow (Body)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E284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0.5"/>
      <color rgb="FF000000"/>
      <name val="Tahoma"/>
      <family val="34"/>
    </font>
    <font>
      <sz val="10.5"/>
      <color rgb="FF000000"/>
      <name val="Tahoma"/>
      <family val="34"/>
    </font>
    <font>
      <b/>
      <sz val="10.5"/>
      <color rgb="FF7F7F7F"/>
      <name val="Tahoma"/>
      <family val="34"/>
    </font>
    <font>
      <b/>
      <sz val="10.5"/>
      <color rgb="FF7F7F7F"/>
      <name val="Tahoma"/>
      <family val="2"/>
    </font>
    <font>
      <b/>
      <sz val="10.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62">
    <xf numFmtId="0" fontId="0" fillId="0" borderId="0" xfId="0"/>
    <xf numFmtId="49" fontId="0" fillId="0" borderId="0" xfId="0" applyNumberFormat="1"/>
    <xf numFmtId="14" fontId="0" fillId="0" borderId="0" xfId="0" applyNumberFormat="1"/>
    <xf numFmtId="0" fontId="4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0" fontId="0" fillId="0" borderId="4" xfId="0" applyBorder="1"/>
    <xf numFmtId="0" fontId="0" fillId="0" borderId="2" xfId="0" applyBorder="1"/>
    <xf numFmtId="0" fontId="2" fillId="0" borderId="0" xfId="0" applyFont="1" applyAlignment="1">
      <alignment horizontal="center"/>
    </xf>
    <xf numFmtId="3" fontId="0" fillId="0" borderId="1" xfId="0" applyNumberFormat="1" applyBorder="1"/>
    <xf numFmtId="164" fontId="0" fillId="0" borderId="1" xfId="0" applyNumberFormat="1" applyBorder="1"/>
    <xf numFmtId="3" fontId="0" fillId="0" borderId="10" xfId="0" applyNumberFormat="1" applyBorder="1"/>
    <xf numFmtId="164" fontId="0" fillId="0" borderId="10" xfId="0" applyNumberFormat="1" applyBorder="1"/>
    <xf numFmtId="0" fontId="5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0" fillId="0" borderId="1" xfId="0" applyNumberFormat="1" applyBorder="1"/>
    <xf numFmtId="0" fontId="0" fillId="0" borderId="9" xfId="0" applyBorder="1"/>
    <xf numFmtId="165" fontId="0" fillId="0" borderId="10" xfId="0" applyNumberFormat="1" applyBorder="1"/>
    <xf numFmtId="0" fontId="2" fillId="0" borderId="1" xfId="0" applyFont="1" applyBorder="1"/>
    <xf numFmtId="164" fontId="10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0" fontId="1" fillId="5" borderId="0" xfId="0" applyFont="1" applyFill="1"/>
    <xf numFmtId="0" fontId="4" fillId="4" borderId="8" xfId="0" applyFont="1" applyFill="1" applyBorder="1"/>
    <xf numFmtId="0" fontId="4" fillId="4" borderId="3" xfId="0" applyFont="1" applyFill="1" applyBorder="1"/>
    <xf numFmtId="0" fontId="0" fillId="4" borderId="1" xfId="0" applyFill="1" applyBorder="1"/>
    <xf numFmtId="0" fontId="2" fillId="0" borderId="6" xfId="0" applyFont="1" applyBorder="1"/>
    <xf numFmtId="0" fontId="0" fillId="4" borderId="8" xfId="0" applyFill="1" applyBorder="1"/>
    <xf numFmtId="0" fontId="0" fillId="4" borderId="3" xfId="0" applyFill="1" applyBorder="1"/>
    <xf numFmtId="0" fontId="0" fillId="6" borderId="0" xfId="0" applyFill="1"/>
    <xf numFmtId="0" fontId="2" fillId="6" borderId="0" xfId="0" applyFont="1" applyFill="1"/>
    <xf numFmtId="0" fontId="2" fillId="7" borderId="0" xfId="0" applyFont="1" applyFill="1"/>
    <xf numFmtId="0" fontId="1" fillId="7" borderId="0" xfId="0" applyFont="1" applyFill="1"/>
    <xf numFmtId="0" fontId="0" fillId="7" borderId="0" xfId="0" applyFill="1"/>
    <xf numFmtId="166" fontId="0" fillId="0" borderId="0" xfId="0" applyNumberFormat="1"/>
    <xf numFmtId="166" fontId="0" fillId="0" borderId="1" xfId="0" applyNumberFormat="1" applyBorder="1"/>
    <xf numFmtId="166" fontId="2" fillId="0" borderId="1" xfId="0" applyNumberFormat="1" applyFont="1" applyBorder="1"/>
    <xf numFmtId="166" fontId="0" fillId="0" borderId="1" xfId="1" applyNumberFormat="1" applyFont="1" applyBorder="1"/>
    <xf numFmtId="0" fontId="15" fillId="0" borderId="0" xfId="0" applyFont="1"/>
    <xf numFmtId="0" fontId="16" fillId="8" borderId="0" xfId="0" applyFont="1" applyFill="1" applyAlignment="1">
      <alignment horizontal="center"/>
    </xf>
    <xf numFmtId="14" fontId="0" fillId="0" borderId="10" xfId="0" applyNumberFormat="1" applyBorder="1"/>
    <xf numFmtId="166" fontId="0" fillId="0" borderId="10" xfId="0" applyNumberFormat="1" applyBorder="1"/>
    <xf numFmtId="14" fontId="17" fillId="6" borderId="12" xfId="0" applyNumberFormat="1" applyFont="1" applyFill="1" applyBorder="1"/>
    <xf numFmtId="166" fontId="17" fillId="6" borderId="11" xfId="0" applyNumberFormat="1" applyFont="1" applyFill="1" applyBorder="1"/>
    <xf numFmtId="0" fontId="1" fillId="0" borderId="13" xfId="0" applyFont="1" applyBorder="1" applyAlignment="1">
      <alignment horizontal="center"/>
    </xf>
    <xf numFmtId="10" fontId="18" fillId="6" borderId="14" xfId="0" applyNumberFormat="1" applyFont="1" applyFill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0" fontId="0" fillId="0" borderId="10" xfId="0" applyNumberFormat="1" applyBorder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3" fillId="6" borderId="0" xfId="0" applyFont="1" applyFill="1"/>
  </cellXfs>
  <cellStyles count="2">
    <cellStyle name="Currency" xfId="1" builtinId="4"/>
    <cellStyle name="Normal" xfId="0" builtinId="0"/>
  </cellStyles>
  <dxfs count="76">
    <dxf>
      <numFmt numFmtId="14" formatCode="0.00%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6" formatCode="[$$-409]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6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\(#,##0\);\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theme="7" tint="0.59999389629810485"/>
        </patternFill>
      </fill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</dxf>
    <dxf>
      <numFmt numFmtId="19" formatCode="dd/mm/yyyy"/>
    </dxf>
    <dxf>
      <numFmt numFmtId="166" formatCode="[$$-409]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0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1.6 Загальний приріст </a:t>
            </a:r>
            <a:r>
              <a:rPr lang="en-US"/>
              <a:t>AI-</a:t>
            </a:r>
            <a:r>
              <a:rPr lang="ru-RU"/>
              <a:t>трафіку по сайтах (15д </a:t>
            </a:r>
            <a:r>
              <a:rPr lang="en-US"/>
              <a:t>vs 15</a:t>
            </a:r>
            <a:r>
              <a:rPr lang="ru-RU"/>
              <a:t>д)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Відн. приріст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A47-0346-A534-746A20773BC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47-0346-A534-746A20773BCA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A47-0346-A534-746A20773B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47-0346-A534-746A20773B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47-0346-A534-746A20773B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47-0346-A534-746A20773B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A47-0346-A534-746A20773BCA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A47-0346-A534-746A20773BCA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A47-0346-A534-746A20773BCA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task_1!$A$9:$A$17</c:f>
              <c:strCache>
                <c:ptCount val="9"/>
                <c:pt idx="0">
                  <c:v>leadacademica.co.uk</c:v>
                </c:pt>
                <c:pt idx="1">
                  <c:v>typemaster.org</c:v>
                </c:pt>
                <c:pt idx="2">
                  <c:v>writemaster.co.uk</c:v>
                </c:pt>
                <c:pt idx="3">
                  <c:v>nursingessay.us</c:v>
                </c:pt>
                <c:pt idx="4">
                  <c:v>slidecraft.com</c:v>
                </c:pt>
                <c:pt idx="5">
                  <c:v>editgenius.net</c:v>
                </c:pt>
                <c:pt idx="6">
                  <c:v>paperwise.co</c:v>
                </c:pt>
                <c:pt idx="7">
                  <c:v>essayhubpro.net</c:v>
                </c:pt>
                <c:pt idx="8">
                  <c:v>progassignments.io</c:v>
                </c:pt>
              </c:strCache>
            </c:strRef>
          </c:cat>
          <c:val>
            <c:numRef>
              <c:f>task_1!$E$9:$E$17</c:f>
              <c:numCache>
                <c:formatCode>0.0%</c:formatCode>
                <c:ptCount val="9"/>
                <c:pt idx="0">
                  <c:v>1.7458100558659218</c:v>
                </c:pt>
                <c:pt idx="1">
                  <c:v>1.2611336032388665</c:v>
                </c:pt>
                <c:pt idx="2">
                  <c:v>9.1653027823240585E-2</c:v>
                </c:pt>
                <c:pt idx="3">
                  <c:v>-5.8058925476603122E-2</c:v>
                </c:pt>
                <c:pt idx="4">
                  <c:v>-0.12658227848101267</c:v>
                </c:pt>
                <c:pt idx="5">
                  <c:v>-0.16462346760070051</c:v>
                </c:pt>
                <c:pt idx="6">
                  <c:v>-0.23884297520661157</c:v>
                </c:pt>
                <c:pt idx="7">
                  <c:v>-0.27413411938098747</c:v>
                </c:pt>
                <c:pt idx="8">
                  <c:v>-0.37794533459000945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7-0346-A534-746A20773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5634271"/>
        <c:axId val="1555883423"/>
      </c:barChart>
      <c:catAx>
        <c:axId val="155563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555883423"/>
        <c:crosses val="autoZero"/>
        <c:auto val="1"/>
        <c:lblAlgn val="ctr"/>
        <c:lblOffset val="100"/>
        <c:noMultiLvlLbl val="0"/>
      </c:catAx>
      <c:valAx>
        <c:axId val="1555883423"/>
        <c:scaling>
          <c:orientation val="minMax"/>
          <c:max val="2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555634271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</a:t>
            </a:r>
            <a:r>
              <a:rPr lang="uk-UA"/>
              <a:t>5</a:t>
            </a:r>
            <a:r>
              <a:rPr lang="en-US"/>
              <a:t> </a:t>
            </a:r>
            <a:r>
              <a:rPr lang="ru-RU"/>
              <a:t>Приріст </a:t>
            </a:r>
            <a:r>
              <a:rPr lang="en-GB"/>
              <a:t>AI-</a:t>
            </a:r>
            <a:r>
              <a:rPr lang="ru-RU"/>
              <a:t>трафіку по джерелах (15д </a:t>
            </a:r>
            <a:r>
              <a:rPr lang="en-GB"/>
              <a:t>vs 15</a:t>
            </a:r>
            <a:r>
              <a:rPr lang="ru-RU"/>
              <a:t>д)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ai_overview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task_1!$A$22:$A$30</c:f>
              <c:strCache>
                <c:ptCount val="9"/>
                <c:pt idx="0">
                  <c:v>leadacademica.co.uk</c:v>
                </c:pt>
                <c:pt idx="1">
                  <c:v>typemaster.org</c:v>
                </c:pt>
                <c:pt idx="2">
                  <c:v>writemaster.co.uk</c:v>
                </c:pt>
                <c:pt idx="3">
                  <c:v>nursingessay.us</c:v>
                </c:pt>
                <c:pt idx="4">
                  <c:v>slidecraft.com</c:v>
                </c:pt>
                <c:pt idx="5">
                  <c:v>editgenius.net</c:v>
                </c:pt>
                <c:pt idx="6">
                  <c:v>paperwise.co</c:v>
                </c:pt>
                <c:pt idx="7">
                  <c:v>essayhubpro.net</c:v>
                </c:pt>
                <c:pt idx="8">
                  <c:v>progassignments.io</c:v>
                </c:pt>
              </c:strCache>
            </c:strRef>
          </c:cat>
          <c:val>
            <c:numRef>
              <c:f>task_1!$D$22:$D$30</c:f>
              <c:numCache>
                <c:formatCode>0.0%</c:formatCode>
                <c:ptCount val="9"/>
                <c:pt idx="0">
                  <c:v>5.1842105263157894</c:v>
                </c:pt>
                <c:pt idx="1">
                  <c:v>0.15094339622641509</c:v>
                </c:pt>
                <c:pt idx="2">
                  <c:v>-0.7834757834757835</c:v>
                </c:pt>
                <c:pt idx="3">
                  <c:v>-0.48293515358361777</c:v>
                </c:pt>
                <c:pt idx="4">
                  <c:v>-0.453416149068323</c:v>
                </c:pt>
                <c:pt idx="5">
                  <c:v>0</c:v>
                </c:pt>
                <c:pt idx="6">
                  <c:v>0.81775700934579443</c:v>
                </c:pt>
                <c:pt idx="7">
                  <c:v>0.16615384615384615</c:v>
                </c:pt>
                <c:pt idx="8">
                  <c:v>-0.82152974504249288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0-F144-AF69-5DA70F087E84}"/>
            </c:ext>
          </c:extLst>
        </c:ser>
        <c:ser>
          <c:idx val="1"/>
          <c:order val="1"/>
          <c:tx>
            <c:v>featured_snippet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task_1!$A$22:$A$30</c:f>
              <c:strCache>
                <c:ptCount val="9"/>
                <c:pt idx="0">
                  <c:v>leadacademica.co.uk</c:v>
                </c:pt>
                <c:pt idx="1">
                  <c:v>typemaster.org</c:v>
                </c:pt>
                <c:pt idx="2">
                  <c:v>writemaster.co.uk</c:v>
                </c:pt>
                <c:pt idx="3">
                  <c:v>nursingessay.us</c:v>
                </c:pt>
                <c:pt idx="4">
                  <c:v>slidecraft.com</c:v>
                </c:pt>
                <c:pt idx="5">
                  <c:v>editgenius.net</c:v>
                </c:pt>
                <c:pt idx="6">
                  <c:v>paperwise.co</c:v>
                </c:pt>
                <c:pt idx="7">
                  <c:v>essayhubpro.net</c:v>
                </c:pt>
                <c:pt idx="8">
                  <c:v>progassignments.io</c:v>
                </c:pt>
              </c:strCache>
            </c:strRef>
          </c:cat>
          <c:val>
            <c:numRef>
              <c:f>task_1!$G$22:$G$30</c:f>
              <c:numCache>
                <c:formatCode>0.0%</c:formatCode>
                <c:ptCount val="9"/>
                <c:pt idx="0">
                  <c:v>1.9577464788732395</c:v>
                </c:pt>
                <c:pt idx="1">
                  <c:v>3.3142857142857145</c:v>
                </c:pt>
                <c:pt idx="2">
                  <c:v>11.794117647058824</c:v>
                </c:pt>
                <c:pt idx="3">
                  <c:v>-5.2401746724890827E-2</c:v>
                </c:pt>
                <c:pt idx="4">
                  <c:v>1.1780104712041886</c:v>
                </c:pt>
                <c:pt idx="5">
                  <c:v>-0.78283712784588444</c:v>
                </c:pt>
                <c:pt idx="6">
                  <c:v>-0.35337243401759533</c:v>
                </c:pt>
                <c:pt idx="7">
                  <c:v>-0.55534351145038163</c:v>
                </c:pt>
                <c:pt idx="8">
                  <c:v>-0.31129476584022037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90-F144-AF69-5DA70F087E84}"/>
            </c:ext>
          </c:extLst>
        </c:ser>
        <c:ser>
          <c:idx val="2"/>
          <c:order val="2"/>
          <c:tx>
            <c:v>people_also_ask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task_1!$A$22:$A$30</c:f>
              <c:strCache>
                <c:ptCount val="9"/>
                <c:pt idx="0">
                  <c:v>leadacademica.co.uk</c:v>
                </c:pt>
                <c:pt idx="1">
                  <c:v>typemaster.org</c:v>
                </c:pt>
                <c:pt idx="2">
                  <c:v>writemaster.co.uk</c:v>
                </c:pt>
                <c:pt idx="3">
                  <c:v>nursingessay.us</c:v>
                </c:pt>
                <c:pt idx="4">
                  <c:v>slidecraft.com</c:v>
                </c:pt>
                <c:pt idx="5">
                  <c:v>editgenius.net</c:v>
                </c:pt>
                <c:pt idx="6">
                  <c:v>paperwise.co</c:v>
                </c:pt>
                <c:pt idx="7">
                  <c:v>essayhubpro.net</c:v>
                </c:pt>
                <c:pt idx="8">
                  <c:v>progassignments.io</c:v>
                </c:pt>
              </c:strCache>
            </c:strRef>
          </c:cat>
          <c:val>
            <c:numRef>
              <c:f>task_1!$J$22:$J$30</c:f>
              <c:numCache>
                <c:formatCode>0.0%</c:formatCode>
                <c:ptCount val="9"/>
                <c:pt idx="0">
                  <c:v>0.62210796915167099</c:v>
                </c:pt>
                <c:pt idx="1">
                  <c:v>1</c:v>
                </c:pt>
                <c:pt idx="2">
                  <c:v>-0.30973451327433627</c:v>
                </c:pt>
                <c:pt idx="3">
                  <c:v>2.1818181818181817</c:v>
                </c:pt>
                <c:pt idx="4">
                  <c:v>-0.31824234354194408</c:v>
                </c:pt>
                <c:pt idx="5">
                  <c:v>1</c:v>
                </c:pt>
                <c:pt idx="6">
                  <c:v>-0.71019108280254772</c:v>
                </c:pt>
                <c:pt idx="7">
                  <c:v>-0.26574803149606302</c:v>
                </c:pt>
                <c:pt idx="8">
                  <c:v>5.7971014492753624E-3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90-F144-AF69-5DA70F087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8178495"/>
        <c:axId val="177132511"/>
      </c:barChart>
      <c:catAx>
        <c:axId val="21817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77132511"/>
        <c:crosses val="autoZero"/>
        <c:auto val="1"/>
        <c:lblAlgn val="ctr"/>
        <c:lblOffset val="100"/>
        <c:noMultiLvlLbl val="0"/>
      </c:catAx>
      <c:valAx>
        <c:axId val="17713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1817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1.4</a:t>
            </a:r>
            <a:r>
              <a:rPr lang="ru-RU" baseline="0"/>
              <a:t> </a:t>
            </a:r>
            <a:r>
              <a:rPr lang="ru-RU"/>
              <a:t>Кумулятивний </a:t>
            </a:r>
            <a:r>
              <a:rPr lang="en-US"/>
              <a:t>AI-</a:t>
            </a:r>
            <a:r>
              <a:rPr lang="ru-RU"/>
              <a:t>трафік (всі сайти, 3 джерела)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task_1!$B$33</c:f>
              <c:strCache>
                <c:ptCount val="1"/>
                <c:pt idx="0">
                  <c:v>AI-трафік (день)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task_1!$A$34:$A$63</c:f>
              <c:numCache>
                <c:formatCode>m/d/yy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task_1!$B$34:$B$63</c:f>
              <c:numCache>
                <c:formatCode>#,##0</c:formatCode>
                <c:ptCount val="30"/>
                <c:pt idx="0">
                  <c:v>255</c:v>
                </c:pt>
                <c:pt idx="1">
                  <c:v>275</c:v>
                </c:pt>
                <c:pt idx="2">
                  <c:v>902</c:v>
                </c:pt>
                <c:pt idx="3">
                  <c:v>735</c:v>
                </c:pt>
                <c:pt idx="4">
                  <c:v>1004</c:v>
                </c:pt>
                <c:pt idx="5">
                  <c:v>220</c:v>
                </c:pt>
                <c:pt idx="6">
                  <c:v>320</c:v>
                </c:pt>
                <c:pt idx="7">
                  <c:v>631</c:v>
                </c:pt>
                <c:pt idx="8">
                  <c:v>236</c:v>
                </c:pt>
                <c:pt idx="9">
                  <c:v>566</c:v>
                </c:pt>
                <c:pt idx="10">
                  <c:v>577</c:v>
                </c:pt>
                <c:pt idx="11">
                  <c:v>1167</c:v>
                </c:pt>
                <c:pt idx="12">
                  <c:v>172</c:v>
                </c:pt>
                <c:pt idx="13">
                  <c:v>639</c:v>
                </c:pt>
                <c:pt idx="14">
                  <c:v>739</c:v>
                </c:pt>
                <c:pt idx="15">
                  <c:v>1004</c:v>
                </c:pt>
                <c:pt idx="16">
                  <c:v>1177</c:v>
                </c:pt>
                <c:pt idx="17">
                  <c:v>721</c:v>
                </c:pt>
                <c:pt idx="18">
                  <c:v>562</c:v>
                </c:pt>
                <c:pt idx="19">
                  <c:v>502</c:v>
                </c:pt>
                <c:pt idx="20">
                  <c:v>674</c:v>
                </c:pt>
                <c:pt idx="21">
                  <c:v>354</c:v>
                </c:pt>
                <c:pt idx="22">
                  <c:v>499</c:v>
                </c:pt>
                <c:pt idx="23">
                  <c:v>400</c:v>
                </c:pt>
                <c:pt idx="24">
                  <c:v>549</c:v>
                </c:pt>
                <c:pt idx="25">
                  <c:v>496</c:v>
                </c:pt>
                <c:pt idx="26">
                  <c:v>402</c:v>
                </c:pt>
                <c:pt idx="27">
                  <c:v>668</c:v>
                </c:pt>
                <c:pt idx="28">
                  <c:v>242</c:v>
                </c:pt>
                <c:pt idx="29">
                  <c:v>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5-7B4D-B033-4C02DBF34825}"/>
            </c:ext>
          </c:extLst>
        </c:ser>
        <c:ser>
          <c:idx val="1"/>
          <c:order val="1"/>
          <c:tx>
            <c:strRef>
              <c:f>task_1!$C$33</c:f>
              <c:strCache>
                <c:ptCount val="1"/>
                <c:pt idx="0">
                  <c:v>Кумулятивно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task_1!$A$34:$A$63</c:f>
              <c:numCache>
                <c:formatCode>m/d/yy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task_1!$C$34:$C$63</c:f>
              <c:numCache>
                <c:formatCode>#,##0</c:formatCode>
                <c:ptCount val="30"/>
                <c:pt idx="0">
                  <c:v>255</c:v>
                </c:pt>
                <c:pt idx="1">
                  <c:v>530</c:v>
                </c:pt>
                <c:pt idx="2">
                  <c:v>1432</c:v>
                </c:pt>
                <c:pt idx="3">
                  <c:v>2167</c:v>
                </c:pt>
                <c:pt idx="4">
                  <c:v>3171</c:v>
                </c:pt>
                <c:pt idx="5">
                  <c:v>3391</c:v>
                </c:pt>
                <c:pt idx="6">
                  <c:v>3711</c:v>
                </c:pt>
                <c:pt idx="7">
                  <c:v>4342</c:v>
                </c:pt>
                <c:pt idx="8">
                  <c:v>4578</c:v>
                </c:pt>
                <c:pt idx="9">
                  <c:v>5144</c:v>
                </c:pt>
                <c:pt idx="10">
                  <c:v>5721</c:v>
                </c:pt>
                <c:pt idx="11">
                  <c:v>6888</c:v>
                </c:pt>
                <c:pt idx="12">
                  <c:v>7060</c:v>
                </c:pt>
                <c:pt idx="13">
                  <c:v>7699</c:v>
                </c:pt>
                <c:pt idx="14">
                  <c:v>8438</c:v>
                </c:pt>
                <c:pt idx="15">
                  <c:v>9442</c:v>
                </c:pt>
                <c:pt idx="16">
                  <c:v>10619</c:v>
                </c:pt>
                <c:pt idx="17">
                  <c:v>11340</c:v>
                </c:pt>
                <c:pt idx="18">
                  <c:v>11902</c:v>
                </c:pt>
                <c:pt idx="19">
                  <c:v>12404</c:v>
                </c:pt>
                <c:pt idx="20">
                  <c:v>13078</c:v>
                </c:pt>
                <c:pt idx="21">
                  <c:v>13432</c:v>
                </c:pt>
                <c:pt idx="22">
                  <c:v>13931</c:v>
                </c:pt>
                <c:pt idx="23">
                  <c:v>14331</c:v>
                </c:pt>
                <c:pt idx="24">
                  <c:v>14880</c:v>
                </c:pt>
                <c:pt idx="25">
                  <c:v>15376</c:v>
                </c:pt>
                <c:pt idx="26">
                  <c:v>15778</c:v>
                </c:pt>
                <c:pt idx="27">
                  <c:v>16446</c:v>
                </c:pt>
                <c:pt idx="28">
                  <c:v>16688</c:v>
                </c:pt>
                <c:pt idx="29">
                  <c:v>17422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5-7B4D-B033-4C02DBF34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706000"/>
        <c:axId val="1100878496"/>
      </c:lineChart>
      <c:dateAx>
        <c:axId val="209970600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100878496"/>
        <c:crosses val="autoZero"/>
        <c:auto val="1"/>
        <c:lblOffset val="100"/>
        <c:baseTimeUnit val="days"/>
      </c:dateAx>
      <c:valAx>
        <c:axId val="11008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20997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2.5 Дохід по днях (увесь період, 30 днів)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task_2!$J$6</c:f>
              <c:strCache>
                <c:ptCount val="1"/>
                <c:pt idx="0">
                  <c:v>Сума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[$$-409]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task_2!$I$7:$I$36</c:f>
              <c:numCache>
                <c:formatCode>m/d/yy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task_2!$J$7:$J$36</c:f>
              <c:numCache>
                <c:formatCode>[$$-409]#\ ##0.00</c:formatCode>
                <c:ptCount val="30"/>
                <c:pt idx="0">
                  <c:v>711.73</c:v>
                </c:pt>
                <c:pt idx="1">
                  <c:v>1015.53</c:v>
                </c:pt>
                <c:pt idx="2">
                  <c:v>992.74999999999989</c:v>
                </c:pt>
                <c:pt idx="3">
                  <c:v>762.09</c:v>
                </c:pt>
                <c:pt idx="4">
                  <c:v>895.97</c:v>
                </c:pt>
                <c:pt idx="5">
                  <c:v>883.08</c:v>
                </c:pt>
                <c:pt idx="6">
                  <c:v>554.94000000000005</c:v>
                </c:pt>
                <c:pt idx="7">
                  <c:v>776.46999999999991</c:v>
                </c:pt>
                <c:pt idx="8">
                  <c:v>1000.7300000000001</c:v>
                </c:pt>
                <c:pt idx="9">
                  <c:v>764.28</c:v>
                </c:pt>
                <c:pt idx="10">
                  <c:v>966.2</c:v>
                </c:pt>
                <c:pt idx="11">
                  <c:v>874.8599999999999</c:v>
                </c:pt>
                <c:pt idx="12">
                  <c:v>619.54999999999995</c:v>
                </c:pt>
                <c:pt idx="13">
                  <c:v>569.69999999999993</c:v>
                </c:pt>
                <c:pt idx="14">
                  <c:v>687.2800000000002</c:v>
                </c:pt>
                <c:pt idx="15">
                  <c:v>786.23</c:v>
                </c:pt>
                <c:pt idx="16">
                  <c:v>409.27000000000004</c:v>
                </c:pt>
                <c:pt idx="17">
                  <c:v>574.09</c:v>
                </c:pt>
                <c:pt idx="18">
                  <c:v>507.10999999999996</c:v>
                </c:pt>
                <c:pt idx="19">
                  <c:v>1232.3100000000004</c:v>
                </c:pt>
                <c:pt idx="20">
                  <c:v>728.44999999999993</c:v>
                </c:pt>
                <c:pt idx="21">
                  <c:v>746.48</c:v>
                </c:pt>
                <c:pt idx="22">
                  <c:v>902.06</c:v>
                </c:pt>
                <c:pt idx="23">
                  <c:v>643.53</c:v>
                </c:pt>
                <c:pt idx="24">
                  <c:v>1087.1199999999999</c:v>
                </c:pt>
                <c:pt idx="25">
                  <c:v>925.62</c:v>
                </c:pt>
                <c:pt idx="26">
                  <c:v>321.65999999999997</c:v>
                </c:pt>
                <c:pt idx="27">
                  <c:v>1082.3899999999999</c:v>
                </c:pt>
                <c:pt idx="28">
                  <c:v>571.88000000000011</c:v>
                </c:pt>
                <c:pt idx="29">
                  <c:v>714.1400000000001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A-674F-AF5D-2864CF984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678687"/>
        <c:axId val="1909572831"/>
      </c:lineChart>
      <c:dateAx>
        <c:axId val="1909678687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909572831"/>
        <c:crosses val="autoZero"/>
        <c:auto val="1"/>
        <c:lblOffset val="100"/>
        <c:baseTimeUnit val="days"/>
      </c:dateAx>
      <c:valAx>
        <c:axId val="190957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90967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3.4 Кількість подій </a:t>
            </a:r>
            <a:r>
              <a:rPr lang="en-US"/>
              <a:t>conversion </a:t>
            </a:r>
            <a:r>
              <a:rPr lang="ru-RU"/>
              <a:t>по сайтах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Кількість conversion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task_3!$A$5:$A$13</c:f>
              <c:strCache>
                <c:ptCount val="9"/>
                <c:pt idx="0">
                  <c:v>progassignments.io</c:v>
                </c:pt>
                <c:pt idx="1">
                  <c:v>leadacademica.co.uk</c:v>
                </c:pt>
                <c:pt idx="2">
                  <c:v>writemaster.co.uk</c:v>
                </c:pt>
                <c:pt idx="3">
                  <c:v>typemaster.org</c:v>
                </c:pt>
                <c:pt idx="4">
                  <c:v>slidecraft.com</c:v>
                </c:pt>
                <c:pt idx="5">
                  <c:v>editgenius.net</c:v>
                </c:pt>
                <c:pt idx="6">
                  <c:v>paperwise.co</c:v>
                </c:pt>
                <c:pt idx="7">
                  <c:v>essayhubpro.net</c:v>
                </c:pt>
                <c:pt idx="8">
                  <c:v>nursingessay.us</c:v>
                </c:pt>
              </c:strCache>
            </c:strRef>
          </c:cat>
          <c:val>
            <c:numRef>
              <c:f>task_3!$B$5:$B$13</c:f>
              <c:numCache>
                <c:formatCode>General</c:formatCode>
                <c:ptCount val="9"/>
                <c:pt idx="0">
                  <c:v>19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11</c:v>
                </c:pt>
                <c:pt idx="7">
                  <c:v>9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F-354A-8E43-04B064EDA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5544640"/>
        <c:axId val="405546352"/>
      </c:barChart>
      <c:catAx>
        <c:axId val="40554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405546352"/>
        <c:crosses val="autoZero"/>
        <c:auto val="1"/>
        <c:lblAlgn val="ctr"/>
        <c:lblOffset val="100"/>
        <c:noMultiLvlLbl val="0"/>
      </c:catAx>
      <c:valAx>
        <c:axId val="40554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40554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1835005</xdr:colOff>
      <xdr:row>64</xdr:row>
      <xdr:rowOff>3780</xdr:rowOff>
    </xdr:from>
    <xdr:to>
      <xdr:col>14</xdr:col>
      <xdr:colOff>497163</xdr:colOff>
      <xdr:row>94</xdr:row>
      <xdr:rowOff>176695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94D02D-7536-CB98-77BD-EF4B502D6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100483</xdr:colOff>
      <xdr:row>64</xdr:row>
      <xdr:rowOff>9800</xdr:rowOff>
    </xdr:from>
    <xdr:to>
      <xdr:col>6</xdr:col>
      <xdr:colOff>1712662</xdr:colOff>
      <xdr:row>95</xdr:row>
      <xdr:rowOff>56993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59E0341-63CC-C406-4FD2-866663496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5555</xdr:colOff>
      <xdr:row>32</xdr:row>
      <xdr:rowOff>11464</xdr:rowOff>
    </xdr:from>
    <xdr:to>
      <xdr:col>10</xdr:col>
      <xdr:colOff>39687</xdr:colOff>
      <xdr:row>63</xdr:row>
      <xdr:rowOff>19844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2365B6-7BB2-D828-CE5A-41BCBD872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166308</xdr:colOff>
      <xdr:row>30</xdr:row>
      <xdr:rowOff>48380</xdr:rowOff>
    </xdr:from>
    <xdr:to>
      <xdr:col>6</xdr:col>
      <xdr:colOff>1133929</xdr:colOff>
      <xdr:row>56</xdr:row>
      <xdr:rowOff>196547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73F819-83B8-4119-7E3D-CCC2F4BBE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32</xdr:row>
      <xdr:rowOff>38100</xdr:rowOff>
    </xdr:from>
    <xdr:to>
      <xdr:col>5</xdr:col>
      <xdr:colOff>419100</xdr:colOff>
      <xdr:row>57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ED4BE-62A1-E5C9-E913-DBB0E4CD2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528230</xdr:colOff>
      <xdr:row>0</xdr:row>
      <xdr:rowOff>123628</xdr:rowOff>
    </xdr:from>
    <xdr:to>
      <xdr:col>7</xdr:col>
      <xdr:colOff>359646</xdr:colOff>
      <xdr:row>73</xdr:row>
      <xdr:rowOff>157346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2A32857-E445-A746-5999-9CA4EAE39B26}"/>
            </a:ext>
          </a:extLst>
        </xdr:cNvPr>
        <xdr:cNvSpPr/>
      </xdr:nvSpPr>
      <xdr:spPr>
        <a:xfrm>
          <a:off x="528230" y="123628"/>
          <a:ext cx="12104336" cy="1483539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ru-RU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1. Аналіз </a:t>
          </a:r>
          <a:r>
            <a:rPr lang="en-GB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AI-</a:t>
          </a:r>
          <a:r>
            <a:rPr lang="ru-RU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джерел трафіку в </a:t>
          </a:r>
          <a:r>
            <a:rPr lang="en-GB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GA4</a:t>
          </a:r>
        </a:p>
        <a:p>
          <a:endParaRPr lang="en-GB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Які звіти та фільтри в 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GA4 </a:t>
          </a:r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я б використав</a:t>
          </a: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Traffic Acquisition Report</a:t>
          </a:r>
          <a:endParaRPr lang="en-GB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Використати параметр: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Session source 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або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Session source / medium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Застосувати фільтр:</a:t>
          </a:r>
        </a:p>
        <a:p>
          <a:pPr rtl="0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ai_overview, featured_snippet, people_also_ask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Це дає базове розуміння обсягу 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AI-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трафіку.</a:t>
          </a: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Explore → Free Form</a:t>
          </a:r>
          <a:endParaRPr lang="en-GB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Додати: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Session source 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як 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dimension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Sessions 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як метрику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Застосувати фільтр:</a:t>
          </a:r>
        </a:p>
        <a:p>
          <a:pPr rtl="0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Session source matches regex:</a:t>
          </a:r>
          <a:b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ai_overview|featured_snippet|people_also_ask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Це дозволяє детальніше аналізувати трафік (наприклад, по сайтах або сторінках).</a:t>
          </a: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Сегмент 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AI-</a:t>
          </a:r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трафіку</a:t>
          </a:r>
          <a:endParaRPr lang="ru-RU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Створити сегмент:</a:t>
          </a:r>
        </a:p>
        <a:p>
          <a:pPr rtl="0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Session source matches:</a:t>
          </a:r>
          <a:b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ai_overview|featured_snippet|people_also_ask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Використовувати для порівняння з іншим трафіком</a:t>
          </a: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Ключовий фільтр:</a:t>
          </a:r>
          <a:endParaRPr lang="ru-RU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поле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Session source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значення: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ai_overview, featured_snippet, people_also_ask</a:t>
          </a:r>
        </a:p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ru-RU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2. Відстеження </a:t>
          </a:r>
          <a:r>
            <a:rPr lang="en-GB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order-</a:t>
          </a:r>
          <a:r>
            <a:rPr lang="ru-RU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форми (</a:t>
          </a:r>
          <a:r>
            <a:rPr lang="en-GB" sz="11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frontend, GA4 + GTM)</a:t>
          </a:r>
        </a:p>
        <a:p>
          <a:endParaRPr lang="en-GB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  <a:p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Визначити події (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events)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 фронтенді потрібно зафіксувати ключові кроки форми:</a:t>
          </a: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form_view —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користувач відкрив форму</a:t>
          </a: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form_start —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почав заповнювати</a:t>
          </a: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form_submit —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натиснув кнопку 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submit</a:t>
          </a: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purchase 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або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order_complete —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успішне створення замовлення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Передача подій у 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dataLayer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Розробник додає на сайт події через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dataLayer.push():</a:t>
          </a:r>
        </a:p>
        <a:p>
          <a:pPr rtl="0"/>
          <a:r>
            <a:rPr lang="en-GB">
              <a:solidFill>
                <a:schemeClr val="tx1"/>
              </a:solidFill>
            </a:rPr>
            <a:t>dataLayer.push({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event: "form_submit",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form_name: "order_form",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value: 100,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currency: "USD"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});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Для успішного замовлення:</a:t>
          </a:r>
        </a:p>
        <a:p>
          <a:pPr rtl="0"/>
          <a:r>
            <a:rPr lang="en-GB">
              <a:solidFill>
                <a:schemeClr val="tx1"/>
              </a:solidFill>
            </a:rPr>
            <a:t>dataLayer.push({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event: "purchase",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transaction_id: "12345",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value: 100,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currency: "USD"</a:t>
          </a:r>
          <a:br>
            <a:rPr lang="en-GB">
              <a:solidFill>
                <a:schemeClr val="tx1"/>
              </a:solidFill>
            </a:rPr>
          </a:br>
          <a:r>
            <a:rPr lang="en-GB">
              <a:solidFill>
                <a:schemeClr val="tx1"/>
              </a:solidFill>
            </a:rPr>
            <a:t>});</a:t>
          </a:r>
        </a:p>
        <a:p>
          <a:pPr rtl="0"/>
          <a:endParaRPr lang="en-GB">
            <a:solidFill>
              <a:schemeClr val="tx1"/>
            </a:solidFill>
          </a:endParaRPr>
        </a:p>
        <a:p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Налаштування в 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GTM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У контейнері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Google Tag Manager:</a:t>
          </a:r>
        </a:p>
        <a:p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Triggers:</a:t>
          </a:r>
          <a:endParaRPr lang="en-GB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Custom Event: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form_view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form_start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form_submit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purchase</a:t>
          </a:r>
        </a:p>
        <a:p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Tags:</a:t>
          </a:r>
          <a:endParaRPr lang="en-GB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GA4 Event Tag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для кожної події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Передати параметри: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form_name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value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transaction_id</a:t>
          </a:r>
        </a:p>
        <a:p>
          <a:pPr lvl="1"/>
          <a:endParaRPr lang="en-GB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Налаштування в 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GA4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У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Google Analytics 4: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Перевірити події в 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DebugView</a:t>
          </a:r>
          <a:endParaRPr lang="en-GB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Позначити: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purchase 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як </a:t>
          </a:r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conversion</a:t>
          </a:r>
          <a:endParaRPr lang="en-GB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опціонально) створити 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funnel:</a:t>
          </a:r>
        </a:p>
        <a:p>
          <a:pPr lvl="1"/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form_view → form_start → form_submit → purchase</a:t>
          </a:r>
        </a:p>
        <a:p>
          <a:pPr lvl="1"/>
          <a:endParaRPr lang="en-GB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</a:t>
          </a:r>
          <a:r>
            <a:rPr lang="ru-RU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Перевірка</a:t>
          </a: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GTM Preview mode</a:t>
          </a: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GA4 DebugView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Перевірити, що всі параметри передаються коректно</a:t>
          </a:r>
          <a:endParaRPr lang="en-US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uk-UA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Узагальнення</a:t>
          </a:r>
          <a:endParaRPr lang="ru-RU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фронтенд відправляє події в 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dataLayer</a:t>
          </a:r>
        </a:p>
        <a:p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GTM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ловить їх через 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Custom Event triggers</a:t>
          </a:r>
          <a:r>
            <a:rPr lang="uk-UA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і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відправляє в 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GA4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як 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events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 </a:t>
          </a:r>
          <a:r>
            <a:rPr lang="en-GB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GA4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позначаємо ключові події як конверсії</a:t>
          </a:r>
        </a:p>
        <a:p>
          <a:endParaRPr lang="en-GB" sz="11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E643F9-EF1A-B14C-A28F-99F8A8F2C0FF}" name="Table4" displayName="Table4" ref="A1:G301" totalsRowShown="0" headerRowDxfId="75">
  <autoFilter ref="A1:G301" xr:uid="{D3E643F9-EF1A-B14C-A28F-99F8A8F2C0FF}"/>
  <sortState xmlns:xlrd2="http://schemas.microsoft.com/office/spreadsheetml/2017/richdata2" ref="A2:G301">
    <sortCondition ref="F1:F301"/>
  </sortState>
  <tableColumns count="7">
    <tableColumn id="1" xr3:uid="{01CE4A6B-8F1D-724D-AE5B-28BA4430FC44}" name="order_id"/>
    <tableColumn id="2" xr3:uid="{8F77CD47-89D6-C547-A4B6-ABEADD49DFD3}" name="site" dataDxfId="74"/>
    <tableColumn id="3" xr3:uid="{C1C1ED2C-7133-A544-87CA-B1ADC1C40DFE}" name="region" dataDxfId="73"/>
    <tableColumn id="4" xr3:uid="{EFB592AF-A93A-EB41-B24B-5FBD7C1D382E}" name="niche" dataDxfId="72"/>
    <tableColumn id="5" xr3:uid="{C34A76E1-0ABA-D744-9091-3D53DCF08A6C}" name="amount_usd" dataDxfId="71"/>
    <tableColumn id="6" xr3:uid="{70A2E951-0915-D941-B2AC-A0E3578007E0}" name="date" dataDxfId="70"/>
    <tableColumn id="7" xr3:uid="{1E98B042-6AF6-4B4D-BE23-58660A7BD35A}" name="is_new_customer" dataDxfId="6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68B584-773E-C949-A57C-E24B47E0C706}" name="Table3" displayName="Table3" ref="A1:D501" totalsRowShown="0" headerRowDxfId="68">
  <autoFilter ref="A1:D501" xr:uid="{4568B584-773E-C949-A57C-E24B47E0C706}"/>
  <sortState xmlns:xlrd2="http://schemas.microsoft.com/office/spreadsheetml/2017/richdata2" ref="A2:D501">
    <sortCondition ref="D1:D501"/>
  </sortState>
  <tableColumns count="4">
    <tableColumn id="1" xr3:uid="{0EAA9A1A-BDDE-CC40-9BCF-BF9097291202}" name="site" dataDxfId="67"/>
    <tableColumn id="2" xr3:uid="{0DAB1133-F4F4-684A-A2D4-C1C9B956276D}" name="event" dataDxfId="66"/>
    <tableColumn id="3" xr3:uid="{C64578B1-D580-B049-BA88-0DF53288615F}" name="user_id" dataDxfId="65"/>
    <tableColumn id="4" xr3:uid="{14C1DA03-748B-9341-BE53-A1C84A1E9E11}" name="timestamp" dataDxfId="6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DDF01F-0B13-D842-90F1-DEDFABA1387A}" name="Table2" displayName="Table2" ref="A1:D10" totalsRowShown="0" headerRowDxfId="63">
  <autoFilter ref="A1:D10" xr:uid="{0CDDF01F-0B13-D842-90F1-DEDFABA1387A}"/>
  <tableColumns count="4">
    <tableColumn id="1" xr3:uid="{E5E4669E-1887-F449-888C-1528D07FE301}" name="site" dataDxfId="62"/>
    <tableColumn id="2" xr3:uid="{330DF155-A65D-1C4B-882F-814C13B247F4}" name="region" dataDxfId="61"/>
    <tableColumn id="3" xr3:uid="{57B21120-A6AA-1644-BE2E-D4D5B9662DA2}" name="niche" dataDxfId="60"/>
    <tableColumn id="4" xr3:uid="{47E7CA6F-496C-A749-BC70-0D6255C940C8}" name="is_new_site" dataDxfId="5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CB028-9054-AD41-9634-5B7F7F009EC9}" name="Table1" displayName="Table1" ref="A1:D401" totalsRowShown="0">
  <autoFilter ref="A1:D401" xr:uid="{6C8CB028-9054-AD41-9634-5B7F7F009EC9}"/>
  <sortState xmlns:xlrd2="http://schemas.microsoft.com/office/spreadsheetml/2017/richdata2" ref="A2:D401">
    <sortCondition ref="D1:D401"/>
  </sortState>
  <tableColumns count="4">
    <tableColumn id="1" xr3:uid="{3F514B07-BAB8-204A-8A3B-72668D1ADFFE}" name="site" dataDxfId="58"/>
    <tableColumn id="2" xr3:uid="{414D796A-5ECC-0A42-AE13-83F438CCF044}" name="source" dataDxfId="57"/>
    <tableColumn id="3" xr3:uid="{B0EAD12B-B64E-B74C-94D1-CB1065CBBC01}" name="sessions"/>
    <tableColumn id="4" xr3:uid="{837934BA-487A-B948-BAEC-C89F31BD9888}" name="date" dataDxfId="5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A7FD59-9AA7-0C4B-90EE-711CDB177614}" name="Table5" displayName="Table5" ref="A8:G17" totalsRowShown="0" headerRowDxfId="55" headerRowBorderDxfId="54" tableBorderDxfId="53" totalsRowBorderDxfId="52">
  <autoFilter ref="A8:G17" xr:uid="{85A7FD59-9AA7-0C4B-90EE-711CDB177614}"/>
  <sortState xmlns:xlrd2="http://schemas.microsoft.com/office/spreadsheetml/2017/richdata2" ref="A9:F17">
    <sortCondition descending="1" ref="E8:E17"/>
  </sortState>
  <tableColumns count="7">
    <tableColumn id="1" xr3:uid="{C56E518B-88C1-684E-B445-20A850950E4E}" name="Site" dataDxfId="51"/>
    <tableColumn id="2" xr3:uid="{E16F083C-EF69-BD4F-9C03-D3BE0C29343F}" name="Попер. 15д" dataDxfId="50">
      <calculatedColumnFormula array="1">SUMPRODUCT((traffic_sources!$A$2:$A$401=$A9)*((traffic_sources!$B$2:$B$401="ai_overview")+(traffic_sources!$B$2:$B$401="featured_snippet")+(traffic_sources!$B$2:$B$401="people_also_ask"))*(traffic_sources!$D$2:$D$401&gt;=45809)*(traffic_sources!$D$2:$D$401&lt;=45823)*traffic_sources!$C$2:$C$401)</calculatedColumnFormula>
    </tableColumn>
    <tableColumn id="3" xr3:uid="{71A916AC-E976-F94B-801C-8DFEBC05EB00}" name="Останні 15д" dataDxfId="49">
      <calculatedColumnFormula array="1">SUMPRODUCT((traffic_sources!$A$2:$A$401=$A9)*((traffic_sources!$B$2:$B$401="ai_overview")+(traffic_sources!$B$2:$B$401="featured_snippet")+(traffic_sources!$B$2:$B$401="people_also_ask"))*(traffic_sources!$D$2:$D$401&gt;=45824)*(traffic_sources!$D$2:$D$401&lt;=45838)*traffic_sources!$C$2:$C$401)</calculatedColumnFormula>
    </tableColumn>
    <tableColumn id="4" xr3:uid="{0AD08F30-8654-6B49-AF14-623AE901E4A6}" name="Абс. приріст" dataDxfId="48">
      <calculatedColumnFormula>C9-B9</calculatedColumnFormula>
    </tableColumn>
    <tableColumn id="5" xr3:uid="{3D91BFA8-A216-3042-ABF5-DD936A219ACF}" name="Відн. приріст %" dataDxfId="47">
      <calculatedColumnFormula>IF(B9=0,IF(C9=0,0,1),(C9-B9)/B9)</calculatedColumnFormula>
    </tableColumn>
    <tableColumn id="6" xr3:uid="{72F24EB9-62DA-9D47-A9C4-52565FDFA5FC}" name="Рейтинг" dataDxfId="46"/>
    <tableColumn id="7" xr3:uid="{2B466ED1-AF92-C546-9B04-95B2F490E75B}" name="Кількість трафіку за 30д" dataDxfId="45">
      <calculatedColumnFormula>B9+C9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409035-853F-404B-8A4D-F776A7068946}" name="Table7" displayName="Table7" ref="A21:J30" totalsRowShown="0" headerRowDxfId="44" headerRowBorderDxfId="43" tableBorderDxfId="42" totalsRowBorderDxfId="41">
  <autoFilter ref="A21:J30" xr:uid="{17409035-853F-404B-8A4D-F776A7068946}"/>
  <tableColumns count="10">
    <tableColumn id="1" xr3:uid="{B0A66865-4E3C-D547-8AC4-6755095CEA92}" name="Site" dataDxfId="40"/>
    <tableColumn id="2" xr3:uid="{920D01BC-9F6B-9D49-B613-D8C130C749C5}" name="Попер. 15д" dataDxfId="39">
      <calculatedColumnFormula>SUMIFS(traffic_sources!$C$2:$C$401,traffic_sources!$A$2:$A$401,$A22,traffic_sources!$B$2:$B$401,"ai_overview",traffic_sources!$D$2:$D$401,"&gt;=45809",traffic_sources!$D$2:$D$401,"&lt;=45823")</calculatedColumnFormula>
    </tableColumn>
    <tableColumn id="3" xr3:uid="{4D45BBF5-463D-E343-AC55-E396E9B13F55}" name="Останні 15д" dataDxfId="38">
      <calculatedColumnFormula>SUMIFS(traffic_sources!$C$2:$C$401,traffic_sources!$A$2:$A$401,$A22,traffic_sources!$B$2:$B$401,"ai_overview",traffic_sources!$D$2:$D$401,"&gt;=45824",traffic_sources!$D$2:$D$401,"&lt;=45838")</calculatedColumnFormula>
    </tableColumn>
    <tableColumn id="4" xr3:uid="{C107EAEB-5B4C-DD4B-9BC0-660C9940FFA6}" name="Приріст %" dataDxfId="37">
      <calculatedColumnFormula>IF(B22=0,IF(C22=0,0,1),(C22-B22)/B22)</calculatedColumnFormula>
    </tableColumn>
    <tableColumn id="5" xr3:uid="{890E5906-EBF9-C541-B3A1-F4A6F7CEF654}" name="Попер. 15д*" dataDxfId="36">
      <calculatedColumnFormula>SUMIFS(traffic_sources!$C$2:$C$401,traffic_sources!$A$2:$A$401,$A22,traffic_sources!$B$2:$B$401,"featured_snippet",traffic_sources!$D$2:$D$401,"&gt;=45809",traffic_sources!$D$2:$D$401,"&lt;=45823")</calculatedColumnFormula>
    </tableColumn>
    <tableColumn id="6" xr3:uid="{E8204413-8687-8445-8FAE-F64AEFF5FB07}" name="Останні 15д*" dataDxfId="35">
      <calculatedColumnFormula>SUMIFS(traffic_sources!$C$2:$C$401,traffic_sources!$A$2:$A$401,$A22,traffic_sources!$B$2:$B$401,"featured_snippet",traffic_sources!$D$2:$D$401,"&gt;=45824",traffic_sources!$D$2:$D$401,"&lt;=45838")</calculatedColumnFormula>
    </tableColumn>
    <tableColumn id="7" xr3:uid="{30D308A7-8F0F-E640-AD5B-A7C2C78281F5}" name="Приріст %*" dataDxfId="34">
      <calculatedColumnFormula>IF(E22=0,IF(F22=0,0,1),(F22-E22)/E22)</calculatedColumnFormula>
    </tableColumn>
    <tableColumn id="8" xr3:uid="{B18708F4-5E32-924C-82A0-6D460DD12ACF}" name="Попер. 15д**" dataDxfId="33">
      <calculatedColumnFormula>SUMIFS(traffic_sources!$C$2:$C$401,traffic_sources!$A$2:$A$401,$A22,traffic_sources!$B$2:$B$401,"people_also_ask",traffic_sources!$D$2:$D$401,"&gt;=45809",traffic_sources!$D$2:$D$401,"&lt;=45823")</calculatedColumnFormula>
    </tableColumn>
    <tableColumn id="9" xr3:uid="{1E5F4503-ADB1-CD4C-AA54-0DEEA913AE1A}" name="Останні 15д**" dataDxfId="32">
      <calculatedColumnFormula>SUMIFS(traffic_sources!$C$2:$C$401,traffic_sources!$A$2:$A$401,$A22,traffic_sources!$B$2:$B$401,"people_also_ask",traffic_sources!$D$2:$D$401,"&gt;=45824",traffic_sources!$D$2:$D$401,"&lt;=45838")</calculatedColumnFormula>
    </tableColumn>
    <tableColumn id="10" xr3:uid="{37A8FE12-4D4B-8B44-A282-E3C05E487372}" name="Приріст %**" dataDxfId="31">
      <calculatedColumnFormula>IF(H22=0,IF(I22=0,0,1),(I22-H22)/H22)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5F0882-08D0-034A-83AC-FF72B559B8ED}" name="Table8" displayName="Table8" ref="A6:C15" totalsRowShown="0" headerRowDxfId="30">
  <autoFilter ref="A6:C15" xr:uid="{D25F0882-08D0-034A-83AC-FF72B559B8ED}"/>
  <tableColumns count="3">
    <tableColumn id="1" xr3:uid="{0BEBCA4E-55BA-944A-BB02-E0D9B3C3D86D}" name="Site" dataDxfId="29"/>
    <tableColumn id="2" xr3:uid="{6DB5EC0E-D394-934F-A131-F36E5884C439}" name="Кількість замовлень" dataDxfId="28">
      <calculatedColumnFormula array="1">SUMPRODUCT((order!$B$2:$B$301=$A7)*1)-SUMPRODUCT((order!$B$2:$B$301=$A7)*(((order!$B$2:$B$301="essayhubpro.net")+(order!$B$2:$B$301="paperwise.co")+(order!$B$2:$B$301="editgenius.net"))*(order!$C$2:$C$301="US")*(order!$G$2:$G$301="False")))</calculatedColumnFormula>
    </tableColumn>
    <tableColumn id="3" xr3:uid="{457574AA-3257-B643-9DF1-D82238E41D25}" name="Сума ($)" dataDxfId="27">
      <calculatedColumnFormula array="1">SUMPRODUCT((order!$B$2:$B$301=$A7)*order!$E$2:$E$301)-SUMPRODUCT((order!$B$2:$B$301=$A7)*(((order!$B$2:$B$301="essayhubpro.net")+(order!$B$2:$B$301="paperwise.co")+(order!$B$2:$B$301="editgenius.net"))*(order!$C$2:$C$301="US")*(order!$G$2:$G$301="False"))*order!$E$2:$E$301)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B6CF32-6FDB-8F48-9973-044008C96613}" name="Table9" displayName="Table9" ref="E6:G11" totalsRowShown="0" headerRowDxfId="26">
  <autoFilter ref="E6:G11" xr:uid="{DEB6CF32-6FDB-8F48-9973-044008C96613}"/>
  <tableColumns count="3">
    <tableColumn id="1" xr3:uid="{C400FA02-E3DA-DF49-AB91-B9A6CE0681FD}" name="Region" dataDxfId="25"/>
    <tableColumn id="2" xr3:uid="{D74F2CCA-7D05-4C45-BF7E-C099033F235A}" name="Кількість" dataDxfId="24">
      <calculatedColumnFormula array="1">SUMPRODUCT((order!$C$2:$C$301=$E7)*1)-IF($E7="US",SUMPRODUCT((((order!$B$2:$B$301="essayhubpro.net")+(order!$B$2:$B$301="paperwise.co")+(order!$B$2:$B$301="editgenius.net"))*(order!$C$2:$C$301="US")*(order!$G$2:$G$301="False"))),0)</calculatedColumnFormula>
    </tableColumn>
    <tableColumn id="3" xr3:uid="{9C4B8731-F518-A247-A799-4109F3699946}" name="Сума ($)" dataDxfId="23">
      <calculatedColumnFormula array="1">SUMPRODUCT((order!$C$2:$C$301=$E7)*order!$E$2:$E$301)-IF($E7="US",SUMPRODUCT((((order!$B$2:$B$301="essayhubpro.net")+(order!$B$2:$B$301="paperwise.co")+(order!$B$2:$B$301="editgenius.net"))*(order!$C$2:$C$301="US")*(order!$G$2:$G$301="False"))*order!$E$2:$E$301),0)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912299-3FEA-B448-B278-4DEAD30E38F3}" name="Table10" displayName="Table10" ref="A19:G28" totalsRowShown="0" headerRowDxfId="22">
  <autoFilter ref="A19:G28" xr:uid="{CE912299-3FEA-B448-B278-4DEAD30E38F3}"/>
  <tableColumns count="7">
    <tableColumn id="1" xr3:uid="{7985349D-E33E-5C4C-987D-762FDCCBE12E}" name="Site" dataDxfId="21"/>
    <tableColumn id="2" xr3:uid="{0A06AFBD-E7CB-7F4D-A26D-DEFA5A42A02F}" name="US" dataDxfId="20" dataCellStyle="Currency">
      <calculatedColumnFormula array="1">SUMPRODUCT((order!$B$2:$B$301=$A20)*(order!$C$2:$C$301=B$19)*order!$E$2:$E$301)-IF(AND(B$19="US",OR($A20="essayhubpro.net",$A20="paperwise.co",$A20="editgenius.net")),SUMPRODUCT((order!$B$2:$B$301=$A20)*(order!$C$2:$C$301="US")*(order!$G$2:$G$301="False")*order!$E$2:$E$301),0)</calculatedColumnFormula>
    </tableColumn>
    <tableColumn id="3" xr3:uid="{56ADD0FF-3262-FB4C-A0F6-84B8C1E3BEFB}" name="EU" dataDxfId="19" dataCellStyle="Currency">
      <calculatedColumnFormula array="1">SUMPRODUCT((order!$B$2:$B$301=$A20)*(order!$C$2:$C$301=C$19)*order!$E$2:$E$301)-IF(AND(C$19="US",OR($A20="essayhubpro.net",$A20="paperwise.co",$A20="editgenius.net")),SUMPRODUCT((order!$B$2:$B$301=$A20)*(order!$C$2:$C$301="US")*(order!$G$2:$G$301="False")*order!$E$2:$E$301),0)</calculatedColumnFormula>
    </tableColumn>
    <tableColumn id="4" xr3:uid="{377C9C97-4889-5041-A8F3-22600B27BCBF}" name="UK" dataDxfId="18" dataCellStyle="Currency">
      <calculatedColumnFormula array="1">SUMPRODUCT((order!$B$2:$B$301=$A20)*(order!$C$2:$C$301=D$19)*order!$E$2:$E$301)-IF(AND(D$19="US",OR($A20="essayhubpro.net",$A20="paperwise.co",$A20="editgenius.net")),SUMPRODUCT((order!$B$2:$B$301=$A20)*(order!$C$2:$C$301="US")*(order!$G$2:$G$301="False")*order!$E$2:$E$301),0)</calculatedColumnFormula>
    </tableColumn>
    <tableColumn id="5" xr3:uid="{20B72532-CD85-7E42-9BEC-EDFC3428056A}" name="AU" dataDxfId="17" dataCellStyle="Currency">
      <calculatedColumnFormula array="1">SUMPRODUCT((order!$B$2:$B$301=$A20)*(order!$C$2:$C$301=E$19)*order!$E$2:$E$301)-IF(AND(E$19="US",OR($A20="essayhubpro.net",$A20="paperwise.co",$A20="editgenius.net")),SUMPRODUCT((order!$B$2:$B$301=$A20)*(order!$C$2:$C$301="US")*(order!$G$2:$G$301="False")*order!$E$2:$E$301),0)</calculatedColumnFormula>
    </tableColumn>
    <tableColumn id="6" xr3:uid="{0EBE759D-216F-024D-A339-75538260FAF0}" name="CA" dataDxfId="16" dataCellStyle="Currency">
      <calculatedColumnFormula array="1">SUMPRODUCT((order!$B$2:$B$301=$A20)*(order!$C$2:$C$301=F$19)*order!$E$2:$E$301)-IF(AND(F$19="US",OR($A20="essayhubpro.net",$A20="paperwise.co",$A20="editgenius.net")),SUMPRODUCT((order!$B$2:$B$301=$A20)*(order!$C$2:$C$301="US")*(order!$G$2:$G$301="False")*order!$E$2:$E$301),0)</calculatedColumnFormula>
    </tableColumn>
    <tableColumn id="7" xr3:uid="{608AB5F2-F47F-5F4B-A595-88C39CA7C3DA}" name="Разом" dataDxfId="15">
      <calculatedColumnFormula>SUM(B20:F20)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5F88C41-1563-2246-8E01-239ABDAB970A}" name="Table11" displayName="Table11" ref="I6:J37" totalsRowShown="0" headerRowDxfId="14">
  <autoFilter ref="I6:J37" xr:uid="{45F88C41-1563-2246-8E01-239ABDAB970A}"/>
  <tableColumns count="2">
    <tableColumn id="1" xr3:uid="{58F6DA4C-06CA-2C42-A696-ED7C31ECB345}" name="Дата" dataDxfId="13"/>
    <tableColumn id="2" xr3:uid="{414538DC-2C93-5C4F-8517-67C9CC38A516}" name="Сума ($)" dataDxfId="12">
      <calculatedColumnFormula>SUMIFS(order!$E$2:$E$301,order!$F$2:$F$301,I7)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EAB130F-D89A-8A4E-B8ED-5B4D3C0ECB04}" name="Table12" displayName="Table12" ref="A4:H13" totalsRowShown="0" headerRowDxfId="11" headerRowBorderDxfId="10" tableBorderDxfId="9" totalsRowBorderDxfId="8">
  <autoFilter ref="A4:H13" xr:uid="{6EAB130F-D89A-8A4E-B8ED-5B4D3C0ECB04}"/>
  <tableColumns count="8">
    <tableColumn id="1" xr3:uid="{DBAB2708-8529-6F4D-841C-C5A653BDB25A}" name="Site" dataDxfId="7"/>
    <tableColumn id="2" xr3:uid="{5B80E3AC-3366-1449-8374-4B78DC20BB16}" name="conversion" dataDxfId="6">
      <calculatedColumnFormula>COUNTIFS(site_event_log!$A:$A,$A5,site_event_log!$B:$B,B$4)</calculatedColumnFormula>
    </tableColumn>
    <tableColumn id="3" xr3:uid="{0F2E54EA-F2E8-8541-824D-A38C1401F50E}" name="cta_click" dataDxfId="5">
      <calculatedColumnFormula>COUNTIFS(site_event_log!$A:$A,$A5,site_event_log!$B:$B,C$4)</calculatedColumnFormula>
    </tableColumn>
    <tableColumn id="4" xr3:uid="{C146C1C1-76E8-BF46-8041-2802A91282D8}" name="form_submit" dataDxfId="4">
      <calculatedColumnFormula>COUNTIFS(site_event_log!$A:$A,$A5,site_event_log!$B:$B,D$4)</calculatedColumnFormula>
    </tableColumn>
    <tableColumn id="5" xr3:uid="{2ED84A5B-57D6-244B-99B2-80ADE2F766CF}" name="checkout_initiate" dataDxfId="3">
      <calculatedColumnFormula>COUNTIFS(site_event_log!$A:$A,$A5,site_event_log!$B:$B,E$4)</calculatedColumnFormula>
    </tableColumn>
    <tableColumn id="6" xr3:uid="{56BAC04B-B148-C449-A11F-5DC93A364186}" name="Всього подій" dataDxfId="2">
      <calculatedColumnFormula>SUM(B5:E5)</calculatedColumnFormula>
    </tableColumn>
    <tableColumn id="7" xr3:uid="{95EAF4E5-1FE9-3B4D-A45E-B3BA940BB42E}" name="Conv. Rate" dataDxfId="1">
      <calculatedColumnFormula>IF(C5=0,0,B5/C5)</calculatedColumnFormula>
    </tableColumn>
    <tableColumn id="8" xr3:uid="{A620DBED-1C65-8341-951F-8110735F241C}" name="Conv. rate 2" dataDxfId="0">
      <calculatedColumnFormula>IFERROR(B5/SUMIF(traffic_sources!A:A,A5,traffic_sources!C:C),0)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97F3F3-42B4-B842-B0A5-4F773607B425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2d763b54-4039-46f9-af56-740882ba879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3F5B-62B5-C248-A314-0BC4274D0FB0}">
  <dimension ref="A1:G305"/>
  <sheetViews>
    <sheetView topLeftCell="A287" zoomScale="97" workbookViewId="0">
      <selection activeCell="F305" sqref="F305"/>
    </sheetView>
  </sheetViews>
  <sheetFormatPr baseColWidth="10" defaultRowHeight="16" x14ac:dyDescent="0.2"/>
  <cols>
    <col min="1" max="1" width="11" bestFit="1" customWidth="1"/>
    <col min="2" max="2" width="18.6640625" bestFit="1" customWidth="1"/>
    <col min="3" max="3" width="8.6640625" customWidth="1"/>
    <col min="4" max="4" width="11.6640625" bestFit="1" customWidth="1"/>
    <col min="5" max="5" width="13.6640625" customWidth="1"/>
    <col min="6" max="6" width="10.1640625" bestFit="1" customWidth="1"/>
    <col min="7" max="7" width="18" customWidth="1"/>
  </cols>
  <sheetData>
    <row r="1" spans="1:7" x14ac:dyDescent="0.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</row>
    <row r="2" spans="1:7" x14ac:dyDescent="0.2">
      <c r="A2" t="s">
        <v>63</v>
      </c>
      <c r="B2" s="1" t="s">
        <v>20</v>
      </c>
      <c r="C2" s="1" t="s">
        <v>13</v>
      </c>
      <c r="D2" s="1" t="s">
        <v>10</v>
      </c>
      <c r="E2" s="40">
        <v>49.48</v>
      </c>
      <c r="F2" s="2">
        <v>45809</v>
      </c>
      <c r="G2" s="1" t="s">
        <v>11</v>
      </c>
    </row>
    <row r="3" spans="1:7" x14ac:dyDescent="0.2">
      <c r="A3" t="s">
        <v>139</v>
      </c>
      <c r="B3" s="1" t="s">
        <v>23</v>
      </c>
      <c r="C3" s="1" t="s">
        <v>18</v>
      </c>
      <c r="D3" s="1" t="s">
        <v>21</v>
      </c>
      <c r="E3" s="40">
        <v>79.34</v>
      </c>
      <c r="F3" s="2">
        <v>45809</v>
      </c>
      <c r="G3" s="1" t="s">
        <v>11</v>
      </c>
    </row>
    <row r="4" spans="1:7" x14ac:dyDescent="0.2">
      <c r="A4" t="s">
        <v>144</v>
      </c>
      <c r="B4" s="1" t="s">
        <v>59</v>
      </c>
      <c r="C4" s="1" t="s">
        <v>18</v>
      </c>
      <c r="D4" s="1" t="s">
        <v>45</v>
      </c>
      <c r="E4" s="40">
        <v>79.13</v>
      </c>
      <c r="F4" s="2">
        <v>45809</v>
      </c>
      <c r="G4" s="1" t="s">
        <v>15</v>
      </c>
    </row>
    <row r="5" spans="1:7" x14ac:dyDescent="0.2">
      <c r="A5" t="s">
        <v>194</v>
      </c>
      <c r="B5" s="1" t="s">
        <v>23</v>
      </c>
      <c r="C5" s="1" t="s">
        <v>28</v>
      </c>
      <c r="D5" s="1" t="s">
        <v>14</v>
      </c>
      <c r="E5" s="40">
        <v>100.55</v>
      </c>
      <c r="F5" s="2">
        <v>45809</v>
      </c>
      <c r="G5" s="1" t="s">
        <v>11</v>
      </c>
    </row>
    <row r="6" spans="1:7" x14ac:dyDescent="0.2">
      <c r="A6" t="s">
        <v>223</v>
      </c>
      <c r="B6" s="1" t="s">
        <v>23</v>
      </c>
      <c r="C6" s="1" t="s">
        <v>28</v>
      </c>
      <c r="D6" s="1" t="s">
        <v>32</v>
      </c>
      <c r="E6" s="40">
        <v>89.63</v>
      </c>
      <c r="F6" s="2">
        <v>45809</v>
      </c>
      <c r="G6" s="1" t="s">
        <v>11</v>
      </c>
    </row>
    <row r="7" spans="1:7" x14ac:dyDescent="0.2">
      <c r="A7" t="s">
        <v>247</v>
      </c>
      <c r="B7" s="1" t="s">
        <v>34</v>
      </c>
      <c r="C7" s="1" t="s">
        <v>26</v>
      </c>
      <c r="D7" s="1" t="s">
        <v>45</v>
      </c>
      <c r="E7" s="40">
        <v>82.05</v>
      </c>
      <c r="F7" s="2">
        <v>45809</v>
      </c>
      <c r="G7" s="1" t="s">
        <v>15</v>
      </c>
    </row>
    <row r="8" spans="1:7" x14ac:dyDescent="0.2">
      <c r="A8" t="s">
        <v>249</v>
      </c>
      <c r="B8" s="1" t="s">
        <v>8</v>
      </c>
      <c r="C8" s="1" t="s">
        <v>18</v>
      </c>
      <c r="D8" s="1" t="s">
        <v>10</v>
      </c>
      <c r="E8" s="40">
        <v>33.32</v>
      </c>
      <c r="F8" s="2">
        <v>45809</v>
      </c>
      <c r="G8" s="1" t="s">
        <v>15</v>
      </c>
    </row>
    <row r="9" spans="1:7" x14ac:dyDescent="0.2">
      <c r="A9" t="s">
        <v>324</v>
      </c>
      <c r="B9" s="1" t="s">
        <v>31</v>
      </c>
      <c r="C9" s="1" t="s">
        <v>9</v>
      </c>
      <c r="D9" s="1" t="s">
        <v>10</v>
      </c>
      <c r="E9" s="40">
        <v>102.49</v>
      </c>
      <c r="F9" s="2">
        <v>45809</v>
      </c>
      <c r="G9" s="1" t="s">
        <v>15</v>
      </c>
    </row>
    <row r="10" spans="1:7" x14ac:dyDescent="0.2">
      <c r="A10" t="s">
        <v>327</v>
      </c>
      <c r="B10" s="1" t="s">
        <v>37</v>
      </c>
      <c r="C10" s="1" t="s">
        <v>18</v>
      </c>
      <c r="D10" s="1" t="s">
        <v>14</v>
      </c>
      <c r="E10" s="40">
        <v>95.74</v>
      </c>
      <c r="F10" s="2">
        <v>45809</v>
      </c>
      <c r="G10" s="1" t="s">
        <v>15</v>
      </c>
    </row>
    <row r="11" spans="1:7" x14ac:dyDescent="0.2">
      <c r="A11" t="s">
        <v>69</v>
      </c>
      <c r="B11" s="1" t="s">
        <v>37</v>
      </c>
      <c r="C11" s="1" t="s">
        <v>18</v>
      </c>
      <c r="D11" s="1" t="s">
        <v>14</v>
      </c>
      <c r="E11" s="40">
        <v>84.28</v>
      </c>
      <c r="F11" s="2">
        <v>45810</v>
      </c>
      <c r="G11" s="1" t="s">
        <v>15</v>
      </c>
    </row>
    <row r="12" spans="1:7" x14ac:dyDescent="0.2">
      <c r="A12" t="s">
        <v>77</v>
      </c>
      <c r="B12" s="1" t="s">
        <v>59</v>
      </c>
      <c r="C12" s="1" t="s">
        <v>9</v>
      </c>
      <c r="D12" s="1" t="s">
        <v>10</v>
      </c>
      <c r="E12" s="40">
        <v>35.92</v>
      </c>
      <c r="F12" s="2">
        <v>45810</v>
      </c>
      <c r="G12" s="1" t="s">
        <v>11</v>
      </c>
    </row>
    <row r="13" spans="1:7" x14ac:dyDescent="0.2">
      <c r="A13" t="s">
        <v>107</v>
      </c>
      <c r="B13" s="1" t="s">
        <v>31</v>
      </c>
      <c r="C13" s="1" t="s">
        <v>26</v>
      </c>
      <c r="D13" s="1" t="s">
        <v>32</v>
      </c>
      <c r="E13" s="40">
        <v>30.31</v>
      </c>
      <c r="F13" s="2">
        <v>45810</v>
      </c>
      <c r="G13" s="1" t="s">
        <v>15</v>
      </c>
    </row>
    <row r="14" spans="1:7" x14ac:dyDescent="0.2">
      <c r="A14" t="s">
        <v>168</v>
      </c>
      <c r="B14" s="1" t="s">
        <v>37</v>
      </c>
      <c r="C14" s="1" t="s">
        <v>9</v>
      </c>
      <c r="D14" s="1" t="s">
        <v>10</v>
      </c>
      <c r="E14" s="40">
        <v>85.69</v>
      </c>
      <c r="F14" s="2">
        <v>45810</v>
      </c>
      <c r="G14" s="1" t="s">
        <v>15</v>
      </c>
    </row>
    <row r="15" spans="1:7" x14ac:dyDescent="0.2">
      <c r="A15" t="s">
        <v>180</v>
      </c>
      <c r="B15" s="1" t="s">
        <v>23</v>
      </c>
      <c r="C15" s="1" t="s">
        <v>26</v>
      </c>
      <c r="D15" s="1" t="s">
        <v>14</v>
      </c>
      <c r="E15" s="40">
        <v>63</v>
      </c>
      <c r="F15" s="2">
        <v>45810</v>
      </c>
      <c r="G15" s="1" t="s">
        <v>11</v>
      </c>
    </row>
    <row r="16" spans="1:7" x14ac:dyDescent="0.2">
      <c r="A16" t="s">
        <v>185</v>
      </c>
      <c r="B16" s="1" t="s">
        <v>17</v>
      </c>
      <c r="C16" s="1" t="s">
        <v>9</v>
      </c>
      <c r="D16" s="1" t="s">
        <v>45</v>
      </c>
      <c r="E16" s="40">
        <v>91.85</v>
      </c>
      <c r="F16" s="2">
        <v>45810</v>
      </c>
      <c r="G16" s="1" t="s">
        <v>11</v>
      </c>
    </row>
    <row r="17" spans="1:7" x14ac:dyDescent="0.2">
      <c r="A17" t="s">
        <v>189</v>
      </c>
      <c r="B17" s="1" t="s">
        <v>37</v>
      </c>
      <c r="C17" s="1" t="s">
        <v>28</v>
      </c>
      <c r="D17" s="1" t="s">
        <v>45</v>
      </c>
      <c r="E17" s="40">
        <v>99.68</v>
      </c>
      <c r="F17" s="2">
        <v>45810</v>
      </c>
      <c r="G17" s="1" t="s">
        <v>15</v>
      </c>
    </row>
    <row r="18" spans="1:7" x14ac:dyDescent="0.2">
      <c r="A18" t="s">
        <v>206</v>
      </c>
      <c r="B18" s="1" t="s">
        <v>31</v>
      </c>
      <c r="C18" s="1" t="s">
        <v>26</v>
      </c>
      <c r="D18" s="1" t="s">
        <v>21</v>
      </c>
      <c r="E18" s="40">
        <v>73.38</v>
      </c>
      <c r="F18" s="2">
        <v>45810</v>
      </c>
      <c r="G18" s="1" t="s">
        <v>11</v>
      </c>
    </row>
    <row r="19" spans="1:7" x14ac:dyDescent="0.2">
      <c r="A19" t="s">
        <v>253</v>
      </c>
      <c r="B19" s="1" t="s">
        <v>37</v>
      </c>
      <c r="C19" s="1" t="s">
        <v>26</v>
      </c>
      <c r="D19" s="1" t="s">
        <v>45</v>
      </c>
      <c r="E19" s="40">
        <v>107.22</v>
      </c>
      <c r="F19" s="2">
        <v>45810</v>
      </c>
      <c r="G19" s="1" t="s">
        <v>15</v>
      </c>
    </row>
    <row r="20" spans="1:7" x14ac:dyDescent="0.2">
      <c r="A20" t="s">
        <v>275</v>
      </c>
      <c r="B20" s="1" t="s">
        <v>17</v>
      </c>
      <c r="C20" s="1" t="s">
        <v>26</v>
      </c>
      <c r="D20" s="1" t="s">
        <v>45</v>
      </c>
      <c r="E20" s="40">
        <v>63.67</v>
      </c>
      <c r="F20" s="2">
        <v>45810</v>
      </c>
      <c r="G20" s="1" t="s">
        <v>11</v>
      </c>
    </row>
    <row r="21" spans="1:7" x14ac:dyDescent="0.2">
      <c r="A21" t="s">
        <v>279</v>
      </c>
      <c r="B21" s="1" t="s">
        <v>17</v>
      </c>
      <c r="C21" s="1" t="s">
        <v>28</v>
      </c>
      <c r="D21" s="1" t="s">
        <v>45</v>
      </c>
      <c r="E21" s="40">
        <v>102.95</v>
      </c>
      <c r="F21" s="2">
        <v>45810</v>
      </c>
      <c r="G21" s="1" t="s">
        <v>11</v>
      </c>
    </row>
    <row r="22" spans="1:7" x14ac:dyDescent="0.2">
      <c r="A22" t="s">
        <v>295</v>
      </c>
      <c r="B22" s="1" t="s">
        <v>23</v>
      </c>
      <c r="C22" s="1" t="s">
        <v>9</v>
      </c>
      <c r="D22" s="1" t="s">
        <v>45</v>
      </c>
      <c r="E22" s="40">
        <v>44.25</v>
      </c>
      <c r="F22" s="2">
        <v>45810</v>
      </c>
      <c r="G22" s="1" t="s">
        <v>15</v>
      </c>
    </row>
    <row r="23" spans="1:7" x14ac:dyDescent="0.2">
      <c r="A23" t="s">
        <v>312</v>
      </c>
      <c r="B23" s="1" t="s">
        <v>8</v>
      </c>
      <c r="C23" s="1" t="s">
        <v>13</v>
      </c>
      <c r="D23" s="1" t="s">
        <v>45</v>
      </c>
      <c r="E23" s="40">
        <v>133.33000000000001</v>
      </c>
      <c r="F23" s="2">
        <v>45810</v>
      </c>
      <c r="G23" s="1" t="s">
        <v>15</v>
      </c>
    </row>
    <row r="24" spans="1:7" x14ac:dyDescent="0.2">
      <c r="A24" t="s">
        <v>73</v>
      </c>
      <c r="B24" s="1" t="s">
        <v>17</v>
      </c>
      <c r="C24" s="1" t="s">
        <v>13</v>
      </c>
      <c r="D24" s="1" t="s">
        <v>14</v>
      </c>
      <c r="E24" s="40">
        <v>62</v>
      </c>
      <c r="F24" s="2">
        <v>45811</v>
      </c>
      <c r="G24" s="1" t="s">
        <v>11</v>
      </c>
    </row>
    <row r="25" spans="1:7" x14ac:dyDescent="0.2">
      <c r="A25" t="s">
        <v>79</v>
      </c>
      <c r="B25" s="1" t="s">
        <v>17</v>
      </c>
      <c r="C25" s="1" t="s">
        <v>18</v>
      </c>
      <c r="D25" s="1" t="s">
        <v>10</v>
      </c>
      <c r="E25" s="40">
        <v>70.37</v>
      </c>
      <c r="F25" s="2">
        <v>45811</v>
      </c>
      <c r="G25" s="1" t="s">
        <v>11</v>
      </c>
    </row>
    <row r="26" spans="1:7" x14ac:dyDescent="0.2">
      <c r="A26" t="s">
        <v>91</v>
      </c>
      <c r="B26" s="1" t="s">
        <v>20</v>
      </c>
      <c r="C26" s="1" t="s">
        <v>9</v>
      </c>
      <c r="D26" s="1" t="s">
        <v>14</v>
      </c>
      <c r="E26" s="40">
        <v>50.09</v>
      </c>
      <c r="F26" s="2">
        <v>45811</v>
      </c>
      <c r="G26" s="1" t="s">
        <v>15</v>
      </c>
    </row>
    <row r="27" spans="1:7" x14ac:dyDescent="0.2">
      <c r="A27" t="s">
        <v>128</v>
      </c>
      <c r="B27" s="1" t="s">
        <v>34</v>
      </c>
      <c r="C27" s="1" t="s">
        <v>26</v>
      </c>
      <c r="D27" s="1" t="s">
        <v>10</v>
      </c>
      <c r="E27" s="40">
        <v>44.62</v>
      </c>
      <c r="F27" s="2">
        <v>45811</v>
      </c>
      <c r="G27" s="1" t="s">
        <v>15</v>
      </c>
    </row>
    <row r="28" spans="1:7" x14ac:dyDescent="0.2">
      <c r="A28" t="s">
        <v>156</v>
      </c>
      <c r="B28" s="1" t="s">
        <v>20</v>
      </c>
      <c r="C28" s="1" t="s">
        <v>13</v>
      </c>
      <c r="D28" s="1" t="s">
        <v>10</v>
      </c>
      <c r="E28" s="40">
        <v>82.49</v>
      </c>
      <c r="F28" s="2">
        <v>45811</v>
      </c>
      <c r="G28" s="1" t="s">
        <v>11</v>
      </c>
    </row>
    <row r="29" spans="1:7" x14ac:dyDescent="0.2">
      <c r="A29" t="s">
        <v>175</v>
      </c>
      <c r="B29" s="1" t="s">
        <v>59</v>
      </c>
      <c r="C29" s="1" t="s">
        <v>26</v>
      </c>
      <c r="D29" s="1" t="s">
        <v>45</v>
      </c>
      <c r="E29" s="40">
        <v>46.99</v>
      </c>
      <c r="F29" s="2">
        <v>45811</v>
      </c>
      <c r="G29" s="1" t="s">
        <v>11</v>
      </c>
    </row>
    <row r="30" spans="1:7" x14ac:dyDescent="0.2">
      <c r="A30" t="s">
        <v>184</v>
      </c>
      <c r="B30" s="1" t="s">
        <v>25</v>
      </c>
      <c r="C30" s="1" t="s">
        <v>9</v>
      </c>
      <c r="D30" s="1" t="s">
        <v>14</v>
      </c>
      <c r="E30" s="40">
        <v>126.64</v>
      </c>
      <c r="F30" s="2">
        <v>45811</v>
      </c>
      <c r="G30" s="1" t="s">
        <v>11</v>
      </c>
    </row>
    <row r="31" spans="1:7" x14ac:dyDescent="0.2">
      <c r="A31" t="s">
        <v>219</v>
      </c>
      <c r="B31" s="1" t="s">
        <v>23</v>
      </c>
      <c r="C31" s="1" t="s">
        <v>13</v>
      </c>
      <c r="D31" s="1" t="s">
        <v>10</v>
      </c>
      <c r="E31" s="40">
        <v>101.41</v>
      </c>
      <c r="F31" s="2">
        <v>45811</v>
      </c>
      <c r="G31" s="1" t="s">
        <v>15</v>
      </c>
    </row>
    <row r="32" spans="1:7" x14ac:dyDescent="0.2">
      <c r="A32" t="s">
        <v>227</v>
      </c>
      <c r="B32" s="1" t="s">
        <v>17</v>
      </c>
      <c r="C32" s="1" t="s">
        <v>9</v>
      </c>
      <c r="D32" s="1" t="s">
        <v>10</v>
      </c>
      <c r="E32" s="40">
        <v>51.43</v>
      </c>
      <c r="F32" s="2">
        <v>45811</v>
      </c>
      <c r="G32" s="1" t="s">
        <v>15</v>
      </c>
    </row>
    <row r="33" spans="1:7" x14ac:dyDescent="0.2">
      <c r="A33" t="s">
        <v>232</v>
      </c>
      <c r="B33" s="1" t="s">
        <v>31</v>
      </c>
      <c r="C33" s="1" t="s">
        <v>13</v>
      </c>
      <c r="D33" s="1" t="s">
        <v>32</v>
      </c>
      <c r="E33" s="40">
        <v>45.56</v>
      </c>
      <c r="F33" s="2">
        <v>45811</v>
      </c>
      <c r="G33" s="1" t="s">
        <v>15</v>
      </c>
    </row>
    <row r="34" spans="1:7" x14ac:dyDescent="0.2">
      <c r="A34" t="s">
        <v>262</v>
      </c>
      <c r="B34" s="1" t="s">
        <v>23</v>
      </c>
      <c r="C34" s="1" t="s">
        <v>26</v>
      </c>
      <c r="D34" s="1" t="s">
        <v>21</v>
      </c>
      <c r="E34" s="40">
        <v>133.6</v>
      </c>
      <c r="F34" s="2">
        <v>45811</v>
      </c>
      <c r="G34" s="1" t="s">
        <v>11</v>
      </c>
    </row>
    <row r="35" spans="1:7" x14ac:dyDescent="0.2">
      <c r="A35" t="s">
        <v>272</v>
      </c>
      <c r="B35" s="1" t="s">
        <v>31</v>
      </c>
      <c r="C35" s="1" t="s">
        <v>26</v>
      </c>
      <c r="D35" s="1" t="s">
        <v>14</v>
      </c>
      <c r="E35" s="40">
        <v>49.99</v>
      </c>
      <c r="F35" s="2">
        <v>45811</v>
      </c>
      <c r="G35" s="1" t="s">
        <v>11</v>
      </c>
    </row>
    <row r="36" spans="1:7" x14ac:dyDescent="0.2">
      <c r="A36" t="s">
        <v>289</v>
      </c>
      <c r="B36" s="1" t="s">
        <v>25</v>
      </c>
      <c r="C36" s="1" t="s">
        <v>9</v>
      </c>
      <c r="D36" s="1" t="s">
        <v>10</v>
      </c>
      <c r="E36" s="40">
        <v>78.510000000000005</v>
      </c>
      <c r="F36" s="2">
        <v>45811</v>
      </c>
      <c r="G36" s="1" t="s">
        <v>11</v>
      </c>
    </row>
    <row r="37" spans="1:7" x14ac:dyDescent="0.2">
      <c r="A37" t="s">
        <v>311</v>
      </c>
      <c r="B37" s="1" t="s">
        <v>34</v>
      </c>
      <c r="C37" s="1" t="s">
        <v>26</v>
      </c>
      <c r="D37" s="1" t="s">
        <v>10</v>
      </c>
      <c r="E37" s="40">
        <v>49.05</v>
      </c>
      <c r="F37" s="2">
        <v>45811</v>
      </c>
      <c r="G37" s="1" t="s">
        <v>15</v>
      </c>
    </row>
    <row r="38" spans="1:7" x14ac:dyDescent="0.2">
      <c r="A38" t="s">
        <v>50</v>
      </c>
      <c r="B38" s="1" t="s">
        <v>20</v>
      </c>
      <c r="C38" s="1" t="s">
        <v>9</v>
      </c>
      <c r="D38" s="1" t="s">
        <v>32</v>
      </c>
      <c r="E38" s="40">
        <v>44.38</v>
      </c>
      <c r="F38" s="2">
        <v>45812</v>
      </c>
      <c r="G38" s="1" t="s">
        <v>15</v>
      </c>
    </row>
    <row r="39" spans="1:7" x14ac:dyDescent="0.2">
      <c r="A39" t="s">
        <v>84</v>
      </c>
      <c r="B39" s="1" t="s">
        <v>17</v>
      </c>
      <c r="C39" s="1" t="s">
        <v>13</v>
      </c>
      <c r="D39" s="1" t="s">
        <v>45</v>
      </c>
      <c r="E39" s="40">
        <v>59.02</v>
      </c>
      <c r="F39" s="2">
        <v>45812</v>
      </c>
      <c r="G39" s="1" t="s">
        <v>11</v>
      </c>
    </row>
    <row r="40" spans="1:7" x14ac:dyDescent="0.2">
      <c r="A40" t="s">
        <v>105</v>
      </c>
      <c r="B40" s="1" t="s">
        <v>59</v>
      </c>
      <c r="C40" s="1" t="s">
        <v>9</v>
      </c>
      <c r="D40" s="1" t="s">
        <v>14</v>
      </c>
      <c r="E40" s="40">
        <v>72.52</v>
      </c>
      <c r="F40" s="2">
        <v>45812</v>
      </c>
      <c r="G40" s="1" t="s">
        <v>15</v>
      </c>
    </row>
    <row r="41" spans="1:7" x14ac:dyDescent="0.2">
      <c r="A41" t="s">
        <v>162</v>
      </c>
      <c r="B41" s="1" t="s">
        <v>34</v>
      </c>
      <c r="C41" s="1" t="s">
        <v>26</v>
      </c>
      <c r="D41" s="1" t="s">
        <v>32</v>
      </c>
      <c r="E41" s="40">
        <v>57.01</v>
      </c>
      <c r="F41" s="2">
        <v>45812</v>
      </c>
      <c r="G41" s="1" t="s">
        <v>11</v>
      </c>
    </row>
    <row r="42" spans="1:7" x14ac:dyDescent="0.2">
      <c r="A42" t="s">
        <v>190</v>
      </c>
      <c r="B42" s="1" t="s">
        <v>8</v>
      </c>
      <c r="C42" s="1" t="s">
        <v>9</v>
      </c>
      <c r="D42" s="1" t="s">
        <v>32</v>
      </c>
      <c r="E42" s="40">
        <v>108.96</v>
      </c>
      <c r="F42" s="2">
        <v>45812</v>
      </c>
      <c r="G42" s="1" t="s">
        <v>15</v>
      </c>
    </row>
    <row r="43" spans="1:7" x14ac:dyDescent="0.2">
      <c r="A43" t="s">
        <v>196</v>
      </c>
      <c r="B43" s="1" t="s">
        <v>8</v>
      </c>
      <c r="C43" s="1" t="s">
        <v>18</v>
      </c>
      <c r="D43" s="1" t="s">
        <v>21</v>
      </c>
      <c r="E43" s="40">
        <v>73.87</v>
      </c>
      <c r="F43" s="2">
        <v>45812</v>
      </c>
      <c r="G43" s="1" t="s">
        <v>11</v>
      </c>
    </row>
    <row r="44" spans="1:7" x14ac:dyDescent="0.2">
      <c r="A44" t="s">
        <v>234</v>
      </c>
      <c r="B44" s="1" t="s">
        <v>23</v>
      </c>
      <c r="C44" s="1" t="s">
        <v>28</v>
      </c>
      <c r="D44" s="1" t="s">
        <v>32</v>
      </c>
      <c r="E44" s="40">
        <v>92.88</v>
      </c>
      <c r="F44" s="2">
        <v>45812</v>
      </c>
      <c r="G44" s="1" t="s">
        <v>11</v>
      </c>
    </row>
    <row r="45" spans="1:7" x14ac:dyDescent="0.2">
      <c r="A45" t="s">
        <v>251</v>
      </c>
      <c r="B45" s="1" t="s">
        <v>17</v>
      </c>
      <c r="C45" s="1" t="s">
        <v>28</v>
      </c>
      <c r="D45" s="1" t="s">
        <v>45</v>
      </c>
      <c r="E45" s="40">
        <v>39.68</v>
      </c>
      <c r="F45" s="2">
        <v>45812</v>
      </c>
      <c r="G45" s="1" t="s">
        <v>11</v>
      </c>
    </row>
    <row r="46" spans="1:7" x14ac:dyDescent="0.2">
      <c r="A46" t="s">
        <v>266</v>
      </c>
      <c r="B46" s="1" t="s">
        <v>23</v>
      </c>
      <c r="C46" s="1" t="s">
        <v>9</v>
      </c>
      <c r="D46" s="1" t="s">
        <v>32</v>
      </c>
      <c r="E46" s="40">
        <v>63.46</v>
      </c>
      <c r="F46" s="2">
        <v>45812</v>
      </c>
      <c r="G46" s="1" t="s">
        <v>11</v>
      </c>
    </row>
    <row r="47" spans="1:7" x14ac:dyDescent="0.2">
      <c r="A47" t="s">
        <v>268</v>
      </c>
      <c r="B47" s="1" t="s">
        <v>25</v>
      </c>
      <c r="C47" s="1" t="s">
        <v>13</v>
      </c>
      <c r="D47" s="1" t="s">
        <v>32</v>
      </c>
      <c r="E47" s="40">
        <v>60.19</v>
      </c>
      <c r="F47" s="2">
        <v>45812</v>
      </c>
      <c r="G47" s="1" t="s">
        <v>15</v>
      </c>
    </row>
    <row r="48" spans="1:7" x14ac:dyDescent="0.2">
      <c r="A48" t="s">
        <v>277</v>
      </c>
      <c r="B48" s="1" t="s">
        <v>31</v>
      </c>
      <c r="C48" s="1" t="s">
        <v>26</v>
      </c>
      <c r="D48" s="1" t="s">
        <v>45</v>
      </c>
      <c r="E48" s="40">
        <v>90.12</v>
      </c>
      <c r="F48" s="2">
        <v>45812</v>
      </c>
      <c r="G48" s="1" t="s">
        <v>15</v>
      </c>
    </row>
    <row r="49" spans="1:7" x14ac:dyDescent="0.2">
      <c r="A49" t="s">
        <v>300</v>
      </c>
      <c r="B49" s="1" t="s">
        <v>20</v>
      </c>
      <c r="C49" s="1" t="s">
        <v>18</v>
      </c>
      <c r="D49" s="1" t="s">
        <v>21</v>
      </c>
      <c r="E49" s="40">
        <v>109.08</v>
      </c>
      <c r="F49" s="2">
        <v>45812</v>
      </c>
      <c r="G49" s="1" t="s">
        <v>15</v>
      </c>
    </row>
    <row r="50" spans="1:7" x14ac:dyDescent="0.2">
      <c r="A50" t="s">
        <v>47</v>
      </c>
      <c r="B50" s="1" t="s">
        <v>8</v>
      </c>
      <c r="C50" s="1" t="s">
        <v>18</v>
      </c>
      <c r="D50" s="1" t="s">
        <v>14</v>
      </c>
      <c r="E50" s="40">
        <v>116.64</v>
      </c>
      <c r="F50" s="2">
        <v>45813</v>
      </c>
      <c r="G50" s="1" t="s">
        <v>11</v>
      </c>
    </row>
    <row r="51" spans="1:7" x14ac:dyDescent="0.2">
      <c r="A51" t="s">
        <v>85</v>
      </c>
      <c r="B51" s="1" t="s">
        <v>20</v>
      </c>
      <c r="C51" s="1" t="s">
        <v>13</v>
      </c>
      <c r="D51" s="1" t="s">
        <v>32</v>
      </c>
      <c r="E51" s="40">
        <v>72.27</v>
      </c>
      <c r="F51" s="2">
        <v>45813</v>
      </c>
      <c r="G51" s="1" t="s">
        <v>15</v>
      </c>
    </row>
    <row r="52" spans="1:7" x14ac:dyDescent="0.2">
      <c r="A52" t="s">
        <v>127</v>
      </c>
      <c r="B52" s="1" t="s">
        <v>25</v>
      </c>
      <c r="C52" s="1" t="s">
        <v>13</v>
      </c>
      <c r="D52" s="1" t="s">
        <v>14</v>
      </c>
      <c r="E52" s="40">
        <v>74.14</v>
      </c>
      <c r="F52" s="2">
        <v>45813</v>
      </c>
      <c r="G52" s="1" t="s">
        <v>11</v>
      </c>
    </row>
    <row r="53" spans="1:7" x14ac:dyDescent="0.2">
      <c r="A53" t="s">
        <v>141</v>
      </c>
      <c r="B53" s="1" t="s">
        <v>34</v>
      </c>
      <c r="C53" s="1" t="s">
        <v>18</v>
      </c>
      <c r="D53" s="1" t="s">
        <v>45</v>
      </c>
      <c r="E53" s="40">
        <v>141.58000000000001</v>
      </c>
      <c r="F53" s="2">
        <v>45813</v>
      </c>
      <c r="G53" s="1" t="s">
        <v>11</v>
      </c>
    </row>
    <row r="54" spans="1:7" x14ac:dyDescent="0.2">
      <c r="A54" t="s">
        <v>165</v>
      </c>
      <c r="B54" s="1" t="s">
        <v>59</v>
      </c>
      <c r="C54" s="1" t="s">
        <v>18</v>
      </c>
      <c r="D54" s="1" t="s">
        <v>45</v>
      </c>
      <c r="E54" s="40">
        <v>71.95</v>
      </c>
      <c r="F54" s="2">
        <v>45813</v>
      </c>
      <c r="G54" s="1" t="s">
        <v>15</v>
      </c>
    </row>
    <row r="55" spans="1:7" x14ac:dyDescent="0.2">
      <c r="A55" t="s">
        <v>238</v>
      </c>
      <c r="B55" s="1" t="s">
        <v>8</v>
      </c>
      <c r="C55" s="1" t="s">
        <v>26</v>
      </c>
      <c r="D55" s="1" t="s">
        <v>45</v>
      </c>
      <c r="E55" s="40">
        <v>94.27</v>
      </c>
      <c r="F55" s="2">
        <v>45813</v>
      </c>
      <c r="G55" s="1" t="s">
        <v>15</v>
      </c>
    </row>
    <row r="56" spans="1:7" x14ac:dyDescent="0.2">
      <c r="A56" t="s">
        <v>245</v>
      </c>
      <c r="B56" s="1" t="s">
        <v>17</v>
      </c>
      <c r="C56" s="1" t="s">
        <v>9</v>
      </c>
      <c r="D56" s="1" t="s">
        <v>10</v>
      </c>
      <c r="E56" s="40">
        <v>74.08</v>
      </c>
      <c r="F56" s="2">
        <v>45813</v>
      </c>
      <c r="G56" s="1" t="s">
        <v>11</v>
      </c>
    </row>
    <row r="57" spans="1:7" x14ac:dyDescent="0.2">
      <c r="A57" t="s">
        <v>256</v>
      </c>
      <c r="B57" s="1" t="s">
        <v>8</v>
      </c>
      <c r="C57" s="1" t="s">
        <v>9</v>
      </c>
      <c r="D57" s="1" t="s">
        <v>45</v>
      </c>
      <c r="E57" s="40">
        <v>62.12</v>
      </c>
      <c r="F57" s="2">
        <v>45813</v>
      </c>
      <c r="G57" s="1" t="s">
        <v>11</v>
      </c>
    </row>
    <row r="58" spans="1:7" x14ac:dyDescent="0.2">
      <c r="A58" t="s">
        <v>321</v>
      </c>
      <c r="B58" s="1" t="s">
        <v>59</v>
      </c>
      <c r="C58" s="1" t="s">
        <v>28</v>
      </c>
      <c r="D58" s="1" t="s">
        <v>45</v>
      </c>
      <c r="E58" s="40">
        <v>101.24</v>
      </c>
      <c r="F58" s="2">
        <v>45813</v>
      </c>
      <c r="G58" s="1" t="s">
        <v>15</v>
      </c>
    </row>
    <row r="59" spans="1:7" x14ac:dyDescent="0.2">
      <c r="A59" t="s">
        <v>325</v>
      </c>
      <c r="B59" s="1" t="s">
        <v>8</v>
      </c>
      <c r="C59" s="1" t="s">
        <v>9</v>
      </c>
      <c r="D59" s="1" t="s">
        <v>10</v>
      </c>
      <c r="E59" s="40">
        <v>87.68</v>
      </c>
      <c r="F59" s="2">
        <v>45813</v>
      </c>
      <c r="G59" s="1" t="s">
        <v>11</v>
      </c>
    </row>
    <row r="60" spans="1:7" x14ac:dyDescent="0.2">
      <c r="A60" t="s">
        <v>58</v>
      </c>
      <c r="B60" s="1" t="s">
        <v>59</v>
      </c>
      <c r="C60" s="1" t="s">
        <v>28</v>
      </c>
      <c r="D60" s="1" t="s">
        <v>45</v>
      </c>
      <c r="E60" s="40">
        <v>126.31</v>
      </c>
      <c r="F60" s="2">
        <v>45814</v>
      </c>
      <c r="G60" s="1" t="s">
        <v>15</v>
      </c>
    </row>
    <row r="61" spans="1:7" x14ac:dyDescent="0.2">
      <c r="A61" t="s">
        <v>71</v>
      </c>
      <c r="B61" s="1" t="s">
        <v>20</v>
      </c>
      <c r="C61" s="1" t="s">
        <v>26</v>
      </c>
      <c r="D61" s="1" t="s">
        <v>21</v>
      </c>
      <c r="E61" s="40">
        <v>72.47</v>
      </c>
      <c r="F61" s="2">
        <v>45814</v>
      </c>
      <c r="G61" s="1" t="s">
        <v>15</v>
      </c>
    </row>
    <row r="62" spans="1:7" x14ac:dyDescent="0.2">
      <c r="A62" t="s">
        <v>86</v>
      </c>
      <c r="B62" s="1" t="s">
        <v>8</v>
      </c>
      <c r="C62" s="1" t="s">
        <v>9</v>
      </c>
      <c r="D62" s="1" t="s">
        <v>32</v>
      </c>
      <c r="E62" s="40">
        <v>88.28</v>
      </c>
      <c r="F62" s="2">
        <v>45814</v>
      </c>
      <c r="G62" s="1" t="s">
        <v>15</v>
      </c>
    </row>
    <row r="63" spans="1:7" x14ac:dyDescent="0.2">
      <c r="A63" t="s">
        <v>120</v>
      </c>
      <c r="B63" s="1" t="s">
        <v>8</v>
      </c>
      <c r="C63" s="1" t="s">
        <v>28</v>
      </c>
      <c r="D63" s="1" t="s">
        <v>10</v>
      </c>
      <c r="E63" s="40">
        <v>62.45</v>
      </c>
      <c r="F63" s="2">
        <v>45814</v>
      </c>
      <c r="G63" s="1" t="s">
        <v>15</v>
      </c>
    </row>
    <row r="64" spans="1:7" x14ac:dyDescent="0.2">
      <c r="A64" t="s">
        <v>154</v>
      </c>
      <c r="B64" s="1" t="s">
        <v>25</v>
      </c>
      <c r="C64" s="1" t="s">
        <v>28</v>
      </c>
      <c r="D64" s="1" t="s">
        <v>32</v>
      </c>
      <c r="E64" s="40">
        <v>55.24</v>
      </c>
      <c r="F64" s="2">
        <v>45814</v>
      </c>
      <c r="G64" s="1" t="s">
        <v>15</v>
      </c>
    </row>
    <row r="65" spans="1:7" x14ac:dyDescent="0.2">
      <c r="A65" t="s">
        <v>186</v>
      </c>
      <c r="B65" s="1" t="s">
        <v>37</v>
      </c>
      <c r="C65" s="1" t="s">
        <v>28</v>
      </c>
      <c r="D65" s="1" t="s">
        <v>32</v>
      </c>
      <c r="E65" s="40">
        <v>50.22</v>
      </c>
      <c r="F65" s="2">
        <v>45814</v>
      </c>
      <c r="G65" s="1" t="s">
        <v>15</v>
      </c>
    </row>
    <row r="66" spans="1:7" x14ac:dyDescent="0.2">
      <c r="A66" t="s">
        <v>213</v>
      </c>
      <c r="B66" s="1" t="s">
        <v>31</v>
      </c>
      <c r="C66" s="1" t="s">
        <v>18</v>
      </c>
      <c r="D66" s="1" t="s">
        <v>21</v>
      </c>
      <c r="E66" s="40">
        <v>97.85</v>
      </c>
      <c r="F66" s="2">
        <v>45814</v>
      </c>
      <c r="G66" s="1" t="s">
        <v>15</v>
      </c>
    </row>
    <row r="67" spans="1:7" x14ac:dyDescent="0.2">
      <c r="A67" t="s">
        <v>250</v>
      </c>
      <c r="B67" s="1" t="s">
        <v>34</v>
      </c>
      <c r="C67" s="1" t="s">
        <v>9</v>
      </c>
      <c r="D67" s="1" t="s">
        <v>14</v>
      </c>
      <c r="E67" s="40">
        <v>97.16</v>
      </c>
      <c r="F67" s="2">
        <v>45814</v>
      </c>
      <c r="G67" s="1" t="s">
        <v>15</v>
      </c>
    </row>
    <row r="68" spans="1:7" x14ac:dyDescent="0.2">
      <c r="A68" t="s">
        <v>273</v>
      </c>
      <c r="B68" s="1" t="s">
        <v>31</v>
      </c>
      <c r="C68" s="1" t="s">
        <v>28</v>
      </c>
      <c r="D68" s="1" t="s">
        <v>32</v>
      </c>
      <c r="E68" s="40">
        <v>71.64</v>
      </c>
      <c r="F68" s="2">
        <v>45814</v>
      </c>
      <c r="G68" s="1" t="s">
        <v>15</v>
      </c>
    </row>
    <row r="69" spans="1:7" x14ac:dyDescent="0.2">
      <c r="A69" t="s">
        <v>302</v>
      </c>
      <c r="B69" s="1" t="s">
        <v>37</v>
      </c>
      <c r="C69" s="1" t="s">
        <v>13</v>
      </c>
      <c r="D69" s="1" t="s">
        <v>45</v>
      </c>
      <c r="E69" s="40">
        <v>55.46</v>
      </c>
      <c r="F69" s="2">
        <v>45814</v>
      </c>
      <c r="G69" s="1" t="s">
        <v>15</v>
      </c>
    </row>
    <row r="70" spans="1:7" x14ac:dyDescent="0.2">
      <c r="A70" t="s">
        <v>313</v>
      </c>
      <c r="B70" s="1" t="s">
        <v>59</v>
      </c>
      <c r="C70" s="1" t="s">
        <v>28</v>
      </c>
      <c r="D70" s="1" t="s">
        <v>10</v>
      </c>
      <c r="E70" s="40">
        <v>31.2</v>
      </c>
      <c r="F70" s="2">
        <v>45814</v>
      </c>
      <c r="G70" s="1" t="s">
        <v>11</v>
      </c>
    </row>
    <row r="71" spans="1:7" x14ac:dyDescent="0.2">
      <c r="A71" t="s">
        <v>318</v>
      </c>
      <c r="B71" s="1" t="s">
        <v>31</v>
      </c>
      <c r="C71" s="1" t="s">
        <v>13</v>
      </c>
      <c r="D71" s="1" t="s">
        <v>21</v>
      </c>
      <c r="E71" s="40">
        <v>74.8</v>
      </c>
      <c r="F71" s="2">
        <v>45814</v>
      </c>
      <c r="G71" s="1" t="s">
        <v>11</v>
      </c>
    </row>
    <row r="72" spans="1:7" x14ac:dyDescent="0.2">
      <c r="A72" t="s">
        <v>42</v>
      </c>
      <c r="B72" s="1" t="s">
        <v>8</v>
      </c>
      <c r="C72" s="1" t="s">
        <v>13</v>
      </c>
      <c r="D72" s="1" t="s">
        <v>32</v>
      </c>
      <c r="E72" s="40">
        <v>54.68</v>
      </c>
      <c r="F72" s="2">
        <v>45815</v>
      </c>
      <c r="G72" s="1" t="s">
        <v>15</v>
      </c>
    </row>
    <row r="73" spans="1:7" x14ac:dyDescent="0.2">
      <c r="A73" t="s">
        <v>53</v>
      </c>
      <c r="B73" s="1" t="s">
        <v>23</v>
      </c>
      <c r="C73" s="1" t="s">
        <v>13</v>
      </c>
      <c r="D73" s="1" t="s">
        <v>45</v>
      </c>
      <c r="E73" s="40">
        <v>51.23</v>
      </c>
      <c r="F73" s="2">
        <v>45815</v>
      </c>
      <c r="G73" s="1" t="s">
        <v>11</v>
      </c>
    </row>
    <row r="74" spans="1:7" x14ac:dyDescent="0.2">
      <c r="A74" t="s">
        <v>67</v>
      </c>
      <c r="B74" s="1" t="s">
        <v>34</v>
      </c>
      <c r="C74" s="1" t="s">
        <v>28</v>
      </c>
      <c r="D74" s="1" t="s">
        <v>21</v>
      </c>
      <c r="E74" s="40">
        <v>84.92</v>
      </c>
      <c r="F74" s="2">
        <v>45815</v>
      </c>
      <c r="G74" s="1" t="s">
        <v>11</v>
      </c>
    </row>
    <row r="75" spans="1:7" x14ac:dyDescent="0.2">
      <c r="A75" t="s">
        <v>70</v>
      </c>
      <c r="B75" s="1" t="s">
        <v>25</v>
      </c>
      <c r="C75" s="1" t="s">
        <v>18</v>
      </c>
      <c r="D75" s="1" t="s">
        <v>10</v>
      </c>
      <c r="E75" s="40">
        <v>77.11</v>
      </c>
      <c r="F75" s="2">
        <v>45815</v>
      </c>
      <c r="G75" s="1" t="s">
        <v>11</v>
      </c>
    </row>
    <row r="76" spans="1:7" x14ac:dyDescent="0.2">
      <c r="A76" t="s">
        <v>74</v>
      </c>
      <c r="B76" s="1" t="s">
        <v>59</v>
      </c>
      <c r="C76" s="1" t="s">
        <v>28</v>
      </c>
      <c r="D76" s="1" t="s">
        <v>21</v>
      </c>
      <c r="E76" s="40">
        <v>68.48</v>
      </c>
      <c r="F76" s="2">
        <v>45815</v>
      </c>
      <c r="G76" s="1" t="s">
        <v>15</v>
      </c>
    </row>
    <row r="77" spans="1:7" x14ac:dyDescent="0.2">
      <c r="A77" t="s">
        <v>142</v>
      </c>
      <c r="B77" s="1" t="s">
        <v>59</v>
      </c>
      <c r="C77" s="1" t="s">
        <v>18</v>
      </c>
      <c r="D77" s="1" t="s">
        <v>45</v>
      </c>
      <c r="E77" s="40">
        <v>75.19</v>
      </c>
      <c r="F77" s="2">
        <v>45815</v>
      </c>
      <c r="G77" s="1" t="s">
        <v>15</v>
      </c>
    </row>
    <row r="78" spans="1:7" x14ac:dyDescent="0.2">
      <c r="A78" t="s">
        <v>228</v>
      </c>
      <c r="B78" s="1" t="s">
        <v>25</v>
      </c>
      <c r="C78" s="1" t="s">
        <v>28</v>
      </c>
      <c r="D78" s="1" t="s">
        <v>10</v>
      </c>
      <c r="E78" s="40">
        <v>88.94</v>
      </c>
      <c r="F78" s="2">
        <v>45815</v>
      </c>
      <c r="G78" s="1" t="s">
        <v>11</v>
      </c>
    </row>
    <row r="79" spans="1:7" x14ac:dyDescent="0.2">
      <c r="A79" t="s">
        <v>291</v>
      </c>
      <c r="B79" s="1" t="s">
        <v>34</v>
      </c>
      <c r="C79" s="1" t="s">
        <v>26</v>
      </c>
      <c r="D79" s="1" t="s">
        <v>32</v>
      </c>
      <c r="E79" s="40">
        <v>54.39</v>
      </c>
      <c r="F79" s="2">
        <v>45815</v>
      </c>
      <c r="G79" s="1" t="s">
        <v>11</v>
      </c>
    </row>
    <row r="80" spans="1:7" x14ac:dyDescent="0.2">
      <c r="A80" t="s">
        <v>7</v>
      </c>
      <c r="B80" s="1" t="s">
        <v>8</v>
      </c>
      <c r="C80" s="1" t="s">
        <v>9</v>
      </c>
      <c r="D80" s="1" t="s">
        <v>10</v>
      </c>
      <c r="E80" s="40">
        <v>92.42</v>
      </c>
      <c r="F80" s="2">
        <v>45816</v>
      </c>
      <c r="G80" s="1" t="s">
        <v>11</v>
      </c>
    </row>
    <row r="81" spans="1:7" x14ac:dyDescent="0.2">
      <c r="A81" t="s">
        <v>16</v>
      </c>
      <c r="B81" s="1" t="s">
        <v>17</v>
      </c>
      <c r="C81" s="1" t="s">
        <v>18</v>
      </c>
      <c r="D81" s="1" t="s">
        <v>10</v>
      </c>
      <c r="E81" s="40">
        <v>96.19</v>
      </c>
      <c r="F81" s="2">
        <v>45816</v>
      </c>
      <c r="G81" s="1" t="s">
        <v>11</v>
      </c>
    </row>
    <row r="82" spans="1:7" x14ac:dyDescent="0.2">
      <c r="A82" t="s">
        <v>19</v>
      </c>
      <c r="B82" s="1" t="s">
        <v>20</v>
      </c>
      <c r="C82" s="1" t="s">
        <v>13</v>
      </c>
      <c r="D82" s="1" t="s">
        <v>21</v>
      </c>
      <c r="E82" s="40">
        <v>118.08</v>
      </c>
      <c r="F82" s="2">
        <v>45816</v>
      </c>
      <c r="G82" s="1" t="s">
        <v>15</v>
      </c>
    </row>
    <row r="83" spans="1:7" x14ac:dyDescent="0.2">
      <c r="A83" t="s">
        <v>80</v>
      </c>
      <c r="B83" s="1" t="s">
        <v>34</v>
      </c>
      <c r="C83" s="1" t="s">
        <v>18</v>
      </c>
      <c r="D83" s="1" t="s">
        <v>45</v>
      </c>
      <c r="E83" s="40">
        <v>63.08</v>
      </c>
      <c r="F83" s="2">
        <v>45816</v>
      </c>
      <c r="G83" s="1" t="s">
        <v>11</v>
      </c>
    </row>
    <row r="84" spans="1:7" x14ac:dyDescent="0.2">
      <c r="A84" t="s">
        <v>116</v>
      </c>
      <c r="B84" s="1" t="s">
        <v>8</v>
      </c>
      <c r="C84" s="1" t="s">
        <v>26</v>
      </c>
      <c r="D84" s="1" t="s">
        <v>32</v>
      </c>
      <c r="E84" s="40">
        <v>66.760000000000005</v>
      </c>
      <c r="F84" s="2">
        <v>45816</v>
      </c>
      <c r="G84" s="1" t="s">
        <v>11</v>
      </c>
    </row>
    <row r="85" spans="1:7" x14ac:dyDescent="0.2">
      <c r="A85" t="s">
        <v>126</v>
      </c>
      <c r="B85" s="1" t="s">
        <v>23</v>
      </c>
      <c r="C85" s="1" t="s">
        <v>18</v>
      </c>
      <c r="D85" s="1" t="s">
        <v>32</v>
      </c>
      <c r="E85" s="40">
        <v>80.13</v>
      </c>
      <c r="F85" s="2">
        <v>45816</v>
      </c>
      <c r="G85" s="1" t="s">
        <v>15</v>
      </c>
    </row>
    <row r="86" spans="1:7" x14ac:dyDescent="0.2">
      <c r="A86" t="s">
        <v>164</v>
      </c>
      <c r="B86" s="1" t="s">
        <v>8</v>
      </c>
      <c r="C86" s="1" t="s">
        <v>26</v>
      </c>
      <c r="D86" s="1" t="s">
        <v>32</v>
      </c>
      <c r="E86" s="40">
        <v>60.42</v>
      </c>
      <c r="F86" s="2">
        <v>45816</v>
      </c>
      <c r="G86" s="1" t="s">
        <v>15</v>
      </c>
    </row>
    <row r="87" spans="1:7" x14ac:dyDescent="0.2">
      <c r="A87" t="s">
        <v>198</v>
      </c>
      <c r="B87" s="1" t="s">
        <v>31</v>
      </c>
      <c r="C87" s="1" t="s">
        <v>28</v>
      </c>
      <c r="D87" s="1" t="s">
        <v>21</v>
      </c>
      <c r="E87" s="40">
        <v>57.76</v>
      </c>
      <c r="F87" s="2">
        <v>45816</v>
      </c>
      <c r="G87" s="1" t="s">
        <v>15</v>
      </c>
    </row>
    <row r="88" spans="1:7" x14ac:dyDescent="0.2">
      <c r="A88" t="s">
        <v>217</v>
      </c>
      <c r="B88" s="1" t="s">
        <v>34</v>
      </c>
      <c r="C88" s="1" t="s">
        <v>13</v>
      </c>
      <c r="D88" s="1" t="s">
        <v>10</v>
      </c>
      <c r="E88" s="40">
        <v>42.13</v>
      </c>
      <c r="F88" s="2">
        <v>45816</v>
      </c>
      <c r="G88" s="1" t="s">
        <v>15</v>
      </c>
    </row>
    <row r="89" spans="1:7" x14ac:dyDescent="0.2">
      <c r="A89" t="s">
        <v>287</v>
      </c>
      <c r="B89" s="1" t="s">
        <v>25</v>
      </c>
      <c r="C89" s="1" t="s">
        <v>28</v>
      </c>
      <c r="D89" s="1" t="s">
        <v>14</v>
      </c>
      <c r="E89" s="40">
        <v>99.37</v>
      </c>
      <c r="F89" s="2">
        <v>45816</v>
      </c>
      <c r="G89" s="1" t="s">
        <v>15</v>
      </c>
    </row>
    <row r="90" spans="1:7" x14ac:dyDescent="0.2">
      <c r="A90" t="s">
        <v>301</v>
      </c>
      <c r="B90" s="1" t="s">
        <v>8</v>
      </c>
      <c r="C90" s="1" t="s">
        <v>26</v>
      </c>
      <c r="D90" s="1" t="s">
        <v>14</v>
      </c>
      <c r="E90" s="40">
        <v>80.260000000000005</v>
      </c>
      <c r="F90" s="2">
        <v>45816</v>
      </c>
      <c r="G90" s="1" t="s">
        <v>15</v>
      </c>
    </row>
    <row r="91" spans="1:7" x14ac:dyDescent="0.2">
      <c r="A91" t="s">
        <v>43</v>
      </c>
      <c r="B91" s="1" t="s">
        <v>31</v>
      </c>
      <c r="C91" s="1" t="s">
        <v>28</v>
      </c>
      <c r="D91" s="1" t="s">
        <v>10</v>
      </c>
      <c r="E91" s="40">
        <v>87.86</v>
      </c>
      <c r="F91" s="2">
        <v>45817</v>
      </c>
      <c r="G91" s="1" t="s">
        <v>11</v>
      </c>
    </row>
    <row r="92" spans="1:7" x14ac:dyDescent="0.2">
      <c r="A92" t="s">
        <v>44</v>
      </c>
      <c r="B92" s="1" t="s">
        <v>34</v>
      </c>
      <c r="C92" s="1" t="s">
        <v>13</v>
      </c>
      <c r="D92" s="1" t="s">
        <v>45</v>
      </c>
      <c r="E92" s="40">
        <v>57.3</v>
      </c>
      <c r="F92" s="2">
        <v>45817</v>
      </c>
      <c r="G92" s="1" t="s">
        <v>15</v>
      </c>
    </row>
    <row r="93" spans="1:7" x14ac:dyDescent="0.2">
      <c r="A93" t="s">
        <v>82</v>
      </c>
      <c r="B93" s="1" t="s">
        <v>23</v>
      </c>
      <c r="C93" s="1" t="s">
        <v>9</v>
      </c>
      <c r="D93" s="1" t="s">
        <v>10</v>
      </c>
      <c r="E93" s="40">
        <v>105.77</v>
      </c>
      <c r="F93" s="2">
        <v>45817</v>
      </c>
      <c r="G93" s="1" t="s">
        <v>15</v>
      </c>
    </row>
    <row r="94" spans="1:7" x14ac:dyDescent="0.2">
      <c r="A94" t="s">
        <v>88</v>
      </c>
      <c r="B94" s="1" t="s">
        <v>20</v>
      </c>
      <c r="C94" s="1" t="s">
        <v>18</v>
      </c>
      <c r="D94" s="1" t="s">
        <v>10</v>
      </c>
      <c r="E94" s="40">
        <v>68.02</v>
      </c>
      <c r="F94" s="2">
        <v>45817</v>
      </c>
      <c r="G94" s="1" t="s">
        <v>11</v>
      </c>
    </row>
    <row r="95" spans="1:7" x14ac:dyDescent="0.2">
      <c r="A95" t="s">
        <v>89</v>
      </c>
      <c r="B95" s="1" t="s">
        <v>8</v>
      </c>
      <c r="C95" s="1" t="s">
        <v>13</v>
      </c>
      <c r="D95" s="1" t="s">
        <v>10</v>
      </c>
      <c r="E95" s="40">
        <v>75.36</v>
      </c>
      <c r="F95" s="2">
        <v>45817</v>
      </c>
      <c r="G95" s="1" t="s">
        <v>15</v>
      </c>
    </row>
    <row r="96" spans="1:7" x14ac:dyDescent="0.2">
      <c r="A96" t="s">
        <v>124</v>
      </c>
      <c r="B96" s="1" t="s">
        <v>59</v>
      </c>
      <c r="C96" s="1" t="s">
        <v>28</v>
      </c>
      <c r="D96" s="1" t="s">
        <v>21</v>
      </c>
      <c r="E96" s="40">
        <v>87.4</v>
      </c>
      <c r="F96" s="2">
        <v>45817</v>
      </c>
      <c r="G96" s="1" t="s">
        <v>11</v>
      </c>
    </row>
    <row r="97" spans="1:7" x14ac:dyDescent="0.2">
      <c r="A97" t="s">
        <v>138</v>
      </c>
      <c r="B97" s="1" t="s">
        <v>37</v>
      </c>
      <c r="C97" s="1" t="s">
        <v>9</v>
      </c>
      <c r="D97" s="1" t="s">
        <v>21</v>
      </c>
      <c r="E97" s="40">
        <v>32.03</v>
      </c>
      <c r="F97" s="2">
        <v>45817</v>
      </c>
      <c r="G97" s="1" t="s">
        <v>15</v>
      </c>
    </row>
    <row r="98" spans="1:7" x14ac:dyDescent="0.2">
      <c r="A98" t="s">
        <v>152</v>
      </c>
      <c r="B98" s="1" t="s">
        <v>25</v>
      </c>
      <c r="C98" s="1" t="s">
        <v>26</v>
      </c>
      <c r="D98" s="1" t="s">
        <v>14</v>
      </c>
      <c r="E98" s="40">
        <v>94.67</v>
      </c>
      <c r="F98" s="2">
        <v>45817</v>
      </c>
      <c r="G98" s="1" t="s">
        <v>15</v>
      </c>
    </row>
    <row r="99" spans="1:7" x14ac:dyDescent="0.2">
      <c r="A99" t="s">
        <v>155</v>
      </c>
      <c r="B99" s="1" t="s">
        <v>34</v>
      </c>
      <c r="C99" s="1" t="s">
        <v>9</v>
      </c>
      <c r="D99" s="1" t="s">
        <v>32</v>
      </c>
      <c r="E99" s="40">
        <v>65.84</v>
      </c>
      <c r="F99" s="2">
        <v>45817</v>
      </c>
      <c r="G99" s="1" t="s">
        <v>15</v>
      </c>
    </row>
    <row r="100" spans="1:7" x14ac:dyDescent="0.2">
      <c r="A100" t="s">
        <v>182</v>
      </c>
      <c r="B100" s="1" t="s">
        <v>37</v>
      </c>
      <c r="C100" s="1" t="s">
        <v>9</v>
      </c>
      <c r="D100" s="1" t="s">
        <v>21</v>
      </c>
      <c r="E100" s="40">
        <v>87.33</v>
      </c>
      <c r="F100" s="2">
        <v>45817</v>
      </c>
      <c r="G100" s="1" t="s">
        <v>15</v>
      </c>
    </row>
    <row r="101" spans="1:7" x14ac:dyDescent="0.2">
      <c r="A101" t="s">
        <v>193</v>
      </c>
      <c r="B101" s="1" t="s">
        <v>37</v>
      </c>
      <c r="C101" s="1" t="s">
        <v>18</v>
      </c>
      <c r="D101" s="1" t="s">
        <v>10</v>
      </c>
      <c r="E101" s="40">
        <v>90.32</v>
      </c>
      <c r="F101" s="2">
        <v>45817</v>
      </c>
      <c r="G101" s="1" t="s">
        <v>11</v>
      </c>
    </row>
    <row r="102" spans="1:7" x14ac:dyDescent="0.2">
      <c r="A102" t="s">
        <v>225</v>
      </c>
      <c r="B102" s="1" t="s">
        <v>34</v>
      </c>
      <c r="C102" s="1" t="s">
        <v>26</v>
      </c>
      <c r="D102" s="1" t="s">
        <v>45</v>
      </c>
      <c r="E102" s="40">
        <v>83.84</v>
      </c>
      <c r="F102" s="2">
        <v>45817</v>
      </c>
      <c r="G102" s="1" t="s">
        <v>11</v>
      </c>
    </row>
    <row r="103" spans="1:7" x14ac:dyDescent="0.2">
      <c r="A103" t="s">
        <v>305</v>
      </c>
      <c r="B103" s="1" t="s">
        <v>20</v>
      </c>
      <c r="C103" s="1" t="s">
        <v>28</v>
      </c>
      <c r="D103" s="1" t="s">
        <v>32</v>
      </c>
      <c r="E103" s="40">
        <v>64.989999999999995</v>
      </c>
      <c r="F103" s="2">
        <v>45817</v>
      </c>
      <c r="G103" s="1" t="s">
        <v>11</v>
      </c>
    </row>
    <row r="104" spans="1:7" x14ac:dyDescent="0.2">
      <c r="A104" t="s">
        <v>131</v>
      </c>
      <c r="B104" s="1" t="s">
        <v>31</v>
      </c>
      <c r="C104" s="1" t="s">
        <v>18</v>
      </c>
      <c r="D104" s="1" t="s">
        <v>32</v>
      </c>
      <c r="E104" s="40">
        <v>59.94</v>
      </c>
      <c r="F104" s="2">
        <v>45818</v>
      </c>
      <c r="G104" s="1" t="s">
        <v>15</v>
      </c>
    </row>
    <row r="105" spans="1:7" x14ac:dyDescent="0.2">
      <c r="A105" t="s">
        <v>158</v>
      </c>
      <c r="B105" s="1" t="s">
        <v>37</v>
      </c>
      <c r="C105" s="1" t="s">
        <v>18</v>
      </c>
      <c r="D105" s="1" t="s">
        <v>14</v>
      </c>
      <c r="E105" s="40">
        <v>41.23</v>
      </c>
      <c r="F105" s="2">
        <v>45818</v>
      </c>
      <c r="G105" s="1" t="s">
        <v>11</v>
      </c>
    </row>
    <row r="106" spans="1:7" x14ac:dyDescent="0.2">
      <c r="A106" t="s">
        <v>161</v>
      </c>
      <c r="B106" s="1" t="s">
        <v>25</v>
      </c>
      <c r="C106" s="1" t="s">
        <v>28</v>
      </c>
      <c r="D106" s="1" t="s">
        <v>32</v>
      </c>
      <c r="E106" s="40">
        <v>91.84</v>
      </c>
      <c r="F106" s="2">
        <v>45818</v>
      </c>
      <c r="G106" s="1" t="s">
        <v>15</v>
      </c>
    </row>
    <row r="107" spans="1:7" x14ac:dyDescent="0.2">
      <c r="A107" t="s">
        <v>167</v>
      </c>
      <c r="B107" s="1" t="s">
        <v>37</v>
      </c>
      <c r="C107" s="1" t="s">
        <v>18</v>
      </c>
      <c r="D107" s="1" t="s">
        <v>45</v>
      </c>
      <c r="E107" s="40">
        <v>49.23</v>
      </c>
      <c r="F107" s="2">
        <v>45818</v>
      </c>
      <c r="G107" s="1" t="s">
        <v>15</v>
      </c>
    </row>
    <row r="108" spans="1:7" x14ac:dyDescent="0.2">
      <c r="A108" t="s">
        <v>170</v>
      </c>
      <c r="B108" s="1" t="s">
        <v>17</v>
      </c>
      <c r="C108" s="1" t="s">
        <v>26</v>
      </c>
      <c r="D108" s="1" t="s">
        <v>45</v>
      </c>
      <c r="E108" s="40">
        <v>39.81</v>
      </c>
      <c r="F108" s="2">
        <v>45818</v>
      </c>
      <c r="G108" s="1" t="s">
        <v>11</v>
      </c>
    </row>
    <row r="109" spans="1:7" x14ac:dyDescent="0.2">
      <c r="A109" t="s">
        <v>172</v>
      </c>
      <c r="B109" s="1" t="s">
        <v>20</v>
      </c>
      <c r="C109" s="1" t="s">
        <v>28</v>
      </c>
      <c r="D109" s="1" t="s">
        <v>21</v>
      </c>
      <c r="E109" s="40">
        <v>86.5</v>
      </c>
      <c r="F109" s="2">
        <v>45818</v>
      </c>
      <c r="G109" s="1" t="s">
        <v>15</v>
      </c>
    </row>
    <row r="110" spans="1:7" x14ac:dyDescent="0.2">
      <c r="A110" t="s">
        <v>214</v>
      </c>
      <c r="B110" s="1" t="s">
        <v>17</v>
      </c>
      <c r="C110" s="1" t="s">
        <v>9</v>
      </c>
      <c r="D110" s="1" t="s">
        <v>14</v>
      </c>
      <c r="E110" s="40">
        <v>91.83</v>
      </c>
      <c r="F110" s="2">
        <v>45818</v>
      </c>
      <c r="G110" s="1" t="s">
        <v>15</v>
      </c>
    </row>
    <row r="111" spans="1:7" x14ac:dyDescent="0.2">
      <c r="A111" t="s">
        <v>237</v>
      </c>
      <c r="B111" s="1" t="s">
        <v>8</v>
      </c>
      <c r="C111" s="1" t="s">
        <v>18</v>
      </c>
      <c r="D111" s="1" t="s">
        <v>14</v>
      </c>
      <c r="E111" s="40">
        <v>176.32</v>
      </c>
      <c r="F111" s="2">
        <v>45818</v>
      </c>
      <c r="G111" s="1" t="s">
        <v>15</v>
      </c>
    </row>
    <row r="112" spans="1:7" x14ac:dyDescent="0.2">
      <c r="A112" t="s">
        <v>285</v>
      </c>
      <c r="B112" s="1" t="s">
        <v>31</v>
      </c>
      <c r="C112" s="1" t="s">
        <v>28</v>
      </c>
      <c r="D112" s="1" t="s">
        <v>21</v>
      </c>
      <c r="E112" s="40">
        <v>62.31</v>
      </c>
      <c r="F112" s="2">
        <v>45818</v>
      </c>
      <c r="G112" s="1" t="s">
        <v>11</v>
      </c>
    </row>
    <row r="113" spans="1:7" x14ac:dyDescent="0.2">
      <c r="A113" t="s">
        <v>320</v>
      </c>
      <c r="B113" s="1" t="s">
        <v>20</v>
      </c>
      <c r="C113" s="1" t="s">
        <v>13</v>
      </c>
      <c r="D113" s="1" t="s">
        <v>14</v>
      </c>
      <c r="E113" s="40">
        <v>65.27</v>
      </c>
      <c r="F113" s="2">
        <v>45818</v>
      </c>
      <c r="G113" s="1" t="s">
        <v>11</v>
      </c>
    </row>
    <row r="114" spans="1:7" x14ac:dyDescent="0.2">
      <c r="A114" t="s">
        <v>62</v>
      </c>
      <c r="B114" s="1" t="s">
        <v>8</v>
      </c>
      <c r="C114" s="1" t="s">
        <v>26</v>
      </c>
      <c r="D114" s="1" t="s">
        <v>14</v>
      </c>
      <c r="E114" s="40">
        <v>100.56</v>
      </c>
      <c r="F114" s="2">
        <v>45819</v>
      </c>
      <c r="G114" s="1" t="s">
        <v>11</v>
      </c>
    </row>
    <row r="115" spans="1:7" x14ac:dyDescent="0.2">
      <c r="A115" t="s">
        <v>83</v>
      </c>
      <c r="B115" s="1" t="s">
        <v>59</v>
      </c>
      <c r="C115" s="1" t="s">
        <v>9</v>
      </c>
      <c r="D115" s="1" t="s">
        <v>21</v>
      </c>
      <c r="E115" s="40">
        <v>103.28</v>
      </c>
      <c r="F115" s="2">
        <v>45819</v>
      </c>
      <c r="G115" s="1" t="s">
        <v>11</v>
      </c>
    </row>
    <row r="116" spans="1:7" x14ac:dyDescent="0.2">
      <c r="A116" t="s">
        <v>109</v>
      </c>
      <c r="B116" s="1" t="s">
        <v>8</v>
      </c>
      <c r="C116" s="1" t="s">
        <v>9</v>
      </c>
      <c r="D116" s="1" t="s">
        <v>45</v>
      </c>
      <c r="E116" s="40">
        <v>88.93</v>
      </c>
      <c r="F116" s="2">
        <v>45819</v>
      </c>
      <c r="G116" s="1" t="s">
        <v>11</v>
      </c>
    </row>
    <row r="117" spans="1:7" x14ac:dyDescent="0.2">
      <c r="A117" t="s">
        <v>110</v>
      </c>
      <c r="B117" s="1" t="s">
        <v>23</v>
      </c>
      <c r="C117" s="1" t="s">
        <v>9</v>
      </c>
      <c r="D117" s="1" t="s">
        <v>21</v>
      </c>
      <c r="E117" s="40">
        <v>116.95</v>
      </c>
      <c r="F117" s="2">
        <v>45819</v>
      </c>
      <c r="G117" s="1" t="s">
        <v>15</v>
      </c>
    </row>
    <row r="118" spans="1:7" x14ac:dyDescent="0.2">
      <c r="A118" t="s">
        <v>137</v>
      </c>
      <c r="B118" s="1" t="s">
        <v>59</v>
      </c>
      <c r="C118" s="1" t="s">
        <v>9</v>
      </c>
      <c r="D118" s="1" t="s">
        <v>21</v>
      </c>
      <c r="E118" s="40">
        <v>78.14</v>
      </c>
      <c r="F118" s="2">
        <v>45819</v>
      </c>
      <c r="G118" s="1" t="s">
        <v>11</v>
      </c>
    </row>
    <row r="119" spans="1:7" x14ac:dyDescent="0.2">
      <c r="A119" t="s">
        <v>188</v>
      </c>
      <c r="B119" s="1" t="s">
        <v>25</v>
      </c>
      <c r="C119" s="1" t="s">
        <v>18</v>
      </c>
      <c r="D119" s="1" t="s">
        <v>10</v>
      </c>
      <c r="E119" s="40">
        <v>55.63</v>
      </c>
      <c r="F119" s="2">
        <v>45819</v>
      </c>
      <c r="G119" s="1" t="s">
        <v>15</v>
      </c>
    </row>
    <row r="120" spans="1:7" x14ac:dyDescent="0.2">
      <c r="A120" t="s">
        <v>235</v>
      </c>
      <c r="B120" s="1" t="s">
        <v>37</v>
      </c>
      <c r="C120" s="1" t="s">
        <v>13</v>
      </c>
      <c r="D120" s="1" t="s">
        <v>45</v>
      </c>
      <c r="E120" s="40">
        <v>92.84</v>
      </c>
      <c r="F120" s="2">
        <v>45819</v>
      </c>
      <c r="G120" s="1" t="s">
        <v>11</v>
      </c>
    </row>
    <row r="121" spans="1:7" x14ac:dyDescent="0.2">
      <c r="A121" t="s">
        <v>260</v>
      </c>
      <c r="B121" s="1" t="s">
        <v>31</v>
      </c>
      <c r="C121" s="1" t="s">
        <v>26</v>
      </c>
      <c r="D121" s="1" t="s">
        <v>21</v>
      </c>
      <c r="E121" s="40">
        <v>81.14</v>
      </c>
      <c r="F121" s="2">
        <v>45819</v>
      </c>
      <c r="G121" s="1" t="s">
        <v>15</v>
      </c>
    </row>
    <row r="122" spans="1:7" x14ac:dyDescent="0.2">
      <c r="A122" t="s">
        <v>299</v>
      </c>
      <c r="B122" s="1" t="s">
        <v>37</v>
      </c>
      <c r="C122" s="1" t="s">
        <v>13</v>
      </c>
      <c r="D122" s="1" t="s">
        <v>10</v>
      </c>
      <c r="E122" s="40">
        <v>44.1</v>
      </c>
      <c r="F122" s="2">
        <v>45819</v>
      </c>
      <c r="G122" s="1" t="s">
        <v>15</v>
      </c>
    </row>
    <row r="123" spans="1:7" x14ac:dyDescent="0.2">
      <c r="A123" t="s">
        <v>304</v>
      </c>
      <c r="B123" s="1" t="s">
        <v>17</v>
      </c>
      <c r="C123" s="1" t="s">
        <v>9</v>
      </c>
      <c r="D123" s="1" t="s">
        <v>14</v>
      </c>
      <c r="E123" s="40">
        <v>84.98</v>
      </c>
      <c r="F123" s="2">
        <v>45819</v>
      </c>
      <c r="G123" s="1" t="s">
        <v>11</v>
      </c>
    </row>
    <row r="124" spans="1:7" x14ac:dyDescent="0.2">
      <c r="A124" t="s">
        <v>310</v>
      </c>
      <c r="B124" s="1" t="s">
        <v>25</v>
      </c>
      <c r="C124" s="1" t="s">
        <v>26</v>
      </c>
      <c r="D124" s="1" t="s">
        <v>10</v>
      </c>
      <c r="E124" s="40">
        <v>119.65</v>
      </c>
      <c r="F124" s="2">
        <v>45819</v>
      </c>
      <c r="G124" s="1" t="s">
        <v>15</v>
      </c>
    </row>
    <row r="125" spans="1:7" x14ac:dyDescent="0.2">
      <c r="A125" t="s">
        <v>27</v>
      </c>
      <c r="B125" s="1" t="s">
        <v>8</v>
      </c>
      <c r="C125" s="1" t="s">
        <v>28</v>
      </c>
      <c r="D125" s="1" t="s">
        <v>14</v>
      </c>
      <c r="E125" s="40">
        <v>119.48</v>
      </c>
      <c r="F125" s="2">
        <v>45820</v>
      </c>
      <c r="G125" s="1" t="s">
        <v>15</v>
      </c>
    </row>
    <row r="126" spans="1:7" x14ac:dyDescent="0.2">
      <c r="A126" t="s">
        <v>36</v>
      </c>
      <c r="B126" s="1" t="s">
        <v>37</v>
      </c>
      <c r="C126" s="1" t="s">
        <v>9</v>
      </c>
      <c r="D126" s="1" t="s">
        <v>10</v>
      </c>
      <c r="E126" s="40">
        <v>68.36</v>
      </c>
      <c r="F126" s="2">
        <v>45820</v>
      </c>
      <c r="G126" s="1" t="s">
        <v>15</v>
      </c>
    </row>
    <row r="127" spans="1:7" x14ac:dyDescent="0.2">
      <c r="A127" t="s">
        <v>96</v>
      </c>
      <c r="B127" s="1" t="s">
        <v>31</v>
      </c>
      <c r="C127" s="1" t="s">
        <v>18</v>
      </c>
      <c r="D127" s="1" t="s">
        <v>32</v>
      </c>
      <c r="E127" s="40">
        <v>89.04</v>
      </c>
      <c r="F127" s="2">
        <v>45820</v>
      </c>
      <c r="G127" s="1" t="s">
        <v>11</v>
      </c>
    </row>
    <row r="128" spans="1:7" x14ac:dyDescent="0.2">
      <c r="A128" t="s">
        <v>97</v>
      </c>
      <c r="B128" s="1" t="s">
        <v>25</v>
      </c>
      <c r="C128" s="1" t="s">
        <v>26</v>
      </c>
      <c r="D128" s="1" t="s">
        <v>14</v>
      </c>
      <c r="E128" s="40">
        <v>63.87</v>
      </c>
      <c r="F128" s="2">
        <v>45820</v>
      </c>
      <c r="G128" s="1" t="s">
        <v>15</v>
      </c>
    </row>
    <row r="129" spans="1:7" x14ac:dyDescent="0.2">
      <c r="A129" t="s">
        <v>101</v>
      </c>
      <c r="B129" s="1" t="s">
        <v>37</v>
      </c>
      <c r="C129" s="1" t="s">
        <v>26</v>
      </c>
      <c r="D129" s="1" t="s">
        <v>21</v>
      </c>
      <c r="E129" s="40">
        <v>119.12</v>
      </c>
      <c r="F129" s="2">
        <v>45820</v>
      </c>
      <c r="G129" s="1" t="s">
        <v>15</v>
      </c>
    </row>
    <row r="130" spans="1:7" x14ac:dyDescent="0.2">
      <c r="A130" t="s">
        <v>108</v>
      </c>
      <c r="B130" s="1" t="s">
        <v>17</v>
      </c>
      <c r="C130" s="1" t="s">
        <v>13</v>
      </c>
      <c r="D130" s="1" t="s">
        <v>10</v>
      </c>
      <c r="E130" s="40">
        <v>74.510000000000005</v>
      </c>
      <c r="F130" s="2">
        <v>45820</v>
      </c>
      <c r="G130" s="1" t="s">
        <v>15</v>
      </c>
    </row>
    <row r="131" spans="1:7" x14ac:dyDescent="0.2">
      <c r="A131" t="s">
        <v>202</v>
      </c>
      <c r="B131" s="1" t="s">
        <v>59</v>
      </c>
      <c r="C131" s="1" t="s">
        <v>13</v>
      </c>
      <c r="D131" s="1" t="s">
        <v>21</v>
      </c>
      <c r="E131" s="40">
        <v>86.92</v>
      </c>
      <c r="F131" s="2">
        <v>45820</v>
      </c>
      <c r="G131" s="1" t="s">
        <v>15</v>
      </c>
    </row>
    <row r="132" spans="1:7" x14ac:dyDescent="0.2">
      <c r="A132" t="s">
        <v>222</v>
      </c>
      <c r="B132" s="1" t="s">
        <v>8</v>
      </c>
      <c r="C132" s="1" t="s">
        <v>28</v>
      </c>
      <c r="D132" s="1" t="s">
        <v>45</v>
      </c>
      <c r="E132" s="40">
        <v>84.33</v>
      </c>
      <c r="F132" s="2">
        <v>45820</v>
      </c>
      <c r="G132" s="1" t="s">
        <v>15</v>
      </c>
    </row>
    <row r="133" spans="1:7" x14ac:dyDescent="0.2">
      <c r="A133" t="s">
        <v>290</v>
      </c>
      <c r="B133" s="1" t="s">
        <v>20</v>
      </c>
      <c r="C133" s="1" t="s">
        <v>26</v>
      </c>
      <c r="D133" s="1" t="s">
        <v>32</v>
      </c>
      <c r="E133" s="40">
        <v>10</v>
      </c>
      <c r="F133" s="2">
        <v>45820</v>
      </c>
      <c r="G133" s="1" t="s">
        <v>11</v>
      </c>
    </row>
    <row r="134" spans="1:7" x14ac:dyDescent="0.2">
      <c r="A134" t="s">
        <v>309</v>
      </c>
      <c r="B134" s="1" t="s">
        <v>20</v>
      </c>
      <c r="C134" s="1" t="s">
        <v>28</v>
      </c>
      <c r="D134" s="1" t="s">
        <v>45</v>
      </c>
      <c r="E134" s="40">
        <v>96.55</v>
      </c>
      <c r="F134" s="2">
        <v>45820</v>
      </c>
      <c r="G134" s="1" t="s">
        <v>11</v>
      </c>
    </row>
    <row r="135" spans="1:7" x14ac:dyDescent="0.2">
      <c r="A135" t="s">
        <v>323</v>
      </c>
      <c r="B135" s="1" t="s">
        <v>31</v>
      </c>
      <c r="C135" s="1" t="s">
        <v>28</v>
      </c>
      <c r="D135" s="1" t="s">
        <v>45</v>
      </c>
      <c r="E135" s="40">
        <v>62.68</v>
      </c>
      <c r="F135" s="2">
        <v>45820</v>
      </c>
      <c r="G135" s="1" t="s">
        <v>11</v>
      </c>
    </row>
    <row r="136" spans="1:7" x14ac:dyDescent="0.2">
      <c r="A136" t="s">
        <v>35</v>
      </c>
      <c r="B136" s="1" t="s">
        <v>23</v>
      </c>
      <c r="C136" s="1" t="s">
        <v>26</v>
      </c>
      <c r="D136" s="1" t="s">
        <v>14</v>
      </c>
      <c r="E136" s="40">
        <v>68.41</v>
      </c>
      <c r="F136" s="2">
        <v>45821</v>
      </c>
      <c r="G136" s="1" t="s">
        <v>15</v>
      </c>
    </row>
    <row r="137" spans="1:7" x14ac:dyDescent="0.2">
      <c r="A137" t="s">
        <v>41</v>
      </c>
      <c r="B137" s="1" t="s">
        <v>17</v>
      </c>
      <c r="C137" s="1" t="s">
        <v>18</v>
      </c>
      <c r="D137" s="1" t="s">
        <v>32</v>
      </c>
      <c r="E137" s="40">
        <v>65.94</v>
      </c>
      <c r="F137" s="2">
        <v>45821</v>
      </c>
      <c r="G137" s="1" t="s">
        <v>15</v>
      </c>
    </row>
    <row r="138" spans="1:7" x14ac:dyDescent="0.2">
      <c r="A138" t="s">
        <v>48</v>
      </c>
      <c r="B138" s="1" t="s">
        <v>31</v>
      </c>
      <c r="C138" s="1" t="s">
        <v>18</v>
      </c>
      <c r="D138" s="1" t="s">
        <v>21</v>
      </c>
      <c r="E138" s="40">
        <v>74.36</v>
      </c>
      <c r="F138" s="2">
        <v>45821</v>
      </c>
      <c r="G138" s="1" t="s">
        <v>15</v>
      </c>
    </row>
    <row r="139" spans="1:7" x14ac:dyDescent="0.2">
      <c r="A139" t="s">
        <v>75</v>
      </c>
      <c r="B139" s="1" t="s">
        <v>17</v>
      </c>
      <c r="C139" s="1" t="s">
        <v>28</v>
      </c>
      <c r="D139" s="1" t="s">
        <v>14</v>
      </c>
      <c r="E139" s="40">
        <v>106.43</v>
      </c>
      <c r="F139" s="2">
        <v>45821</v>
      </c>
      <c r="G139" s="1" t="s">
        <v>15</v>
      </c>
    </row>
    <row r="140" spans="1:7" x14ac:dyDescent="0.2">
      <c r="A140" t="s">
        <v>102</v>
      </c>
      <c r="B140" s="1" t="s">
        <v>34</v>
      </c>
      <c r="C140" s="1" t="s">
        <v>18</v>
      </c>
      <c r="D140" s="1" t="s">
        <v>10</v>
      </c>
      <c r="E140" s="40">
        <v>14.51</v>
      </c>
      <c r="F140" s="2">
        <v>45821</v>
      </c>
      <c r="G140" s="1" t="s">
        <v>15</v>
      </c>
    </row>
    <row r="141" spans="1:7" x14ac:dyDescent="0.2">
      <c r="A141" t="s">
        <v>112</v>
      </c>
      <c r="B141" s="1" t="s">
        <v>59</v>
      </c>
      <c r="C141" s="1" t="s">
        <v>13</v>
      </c>
      <c r="D141" s="1" t="s">
        <v>32</v>
      </c>
      <c r="E141" s="40">
        <v>59.79</v>
      </c>
      <c r="F141" s="2">
        <v>45821</v>
      </c>
      <c r="G141" s="1" t="s">
        <v>11</v>
      </c>
    </row>
    <row r="142" spans="1:7" x14ac:dyDescent="0.2">
      <c r="A142" t="s">
        <v>204</v>
      </c>
      <c r="B142" s="1" t="s">
        <v>34</v>
      </c>
      <c r="C142" s="1" t="s">
        <v>26</v>
      </c>
      <c r="D142" s="1" t="s">
        <v>45</v>
      </c>
      <c r="E142" s="40">
        <v>80.33</v>
      </c>
      <c r="F142" s="2">
        <v>45821</v>
      </c>
      <c r="G142" s="1" t="s">
        <v>11</v>
      </c>
    </row>
    <row r="143" spans="1:7" x14ac:dyDescent="0.2">
      <c r="A143" t="s">
        <v>221</v>
      </c>
      <c r="B143" s="1" t="s">
        <v>37</v>
      </c>
      <c r="C143" s="1" t="s">
        <v>9</v>
      </c>
      <c r="D143" s="1" t="s">
        <v>10</v>
      </c>
      <c r="E143" s="40">
        <v>48.86</v>
      </c>
      <c r="F143" s="2">
        <v>45821</v>
      </c>
      <c r="G143" s="1" t="s">
        <v>15</v>
      </c>
    </row>
    <row r="144" spans="1:7" x14ac:dyDescent="0.2">
      <c r="A144" t="s">
        <v>243</v>
      </c>
      <c r="B144" s="1" t="s">
        <v>20</v>
      </c>
      <c r="C144" s="1" t="s">
        <v>9</v>
      </c>
      <c r="D144" s="1" t="s">
        <v>14</v>
      </c>
      <c r="E144" s="40">
        <v>98.97</v>
      </c>
      <c r="F144" s="2">
        <v>45821</v>
      </c>
      <c r="G144" s="1" t="s">
        <v>15</v>
      </c>
    </row>
    <row r="145" spans="1:7" x14ac:dyDescent="0.2">
      <c r="A145" t="s">
        <v>283</v>
      </c>
      <c r="B145" s="1" t="s">
        <v>20</v>
      </c>
      <c r="C145" s="1" t="s">
        <v>9</v>
      </c>
      <c r="D145" s="1" t="s">
        <v>14</v>
      </c>
      <c r="E145" s="40">
        <v>67.89</v>
      </c>
      <c r="F145" s="2">
        <v>45821</v>
      </c>
      <c r="G145" s="1" t="s">
        <v>11</v>
      </c>
    </row>
    <row r="146" spans="1:7" x14ac:dyDescent="0.2">
      <c r="A146" t="s">
        <v>68</v>
      </c>
      <c r="B146" s="1" t="s">
        <v>8</v>
      </c>
      <c r="C146" s="1" t="s">
        <v>28</v>
      </c>
      <c r="D146" s="1" t="s">
        <v>32</v>
      </c>
      <c r="E146" s="40">
        <v>98.46</v>
      </c>
      <c r="F146" s="2">
        <v>45822</v>
      </c>
      <c r="G146" s="1" t="s">
        <v>15</v>
      </c>
    </row>
    <row r="147" spans="1:7" x14ac:dyDescent="0.2">
      <c r="A147" t="s">
        <v>111</v>
      </c>
      <c r="B147" s="1" t="s">
        <v>23</v>
      </c>
      <c r="C147" s="1" t="s">
        <v>26</v>
      </c>
      <c r="D147" s="1" t="s">
        <v>10</v>
      </c>
      <c r="E147" s="40">
        <v>67.040000000000006</v>
      </c>
      <c r="F147" s="2">
        <v>45822</v>
      </c>
      <c r="G147" s="1" t="s">
        <v>15</v>
      </c>
    </row>
    <row r="148" spans="1:7" x14ac:dyDescent="0.2">
      <c r="A148" t="s">
        <v>129</v>
      </c>
      <c r="B148" s="1" t="s">
        <v>31</v>
      </c>
      <c r="C148" s="1" t="s">
        <v>13</v>
      </c>
      <c r="D148" s="1" t="s">
        <v>21</v>
      </c>
      <c r="E148" s="40">
        <v>69.48</v>
      </c>
      <c r="F148" s="2">
        <v>45822</v>
      </c>
      <c r="G148" s="1" t="s">
        <v>11</v>
      </c>
    </row>
    <row r="149" spans="1:7" x14ac:dyDescent="0.2">
      <c r="A149" t="s">
        <v>151</v>
      </c>
      <c r="B149" s="1" t="s">
        <v>20</v>
      </c>
      <c r="C149" s="1" t="s">
        <v>28</v>
      </c>
      <c r="D149" s="1" t="s">
        <v>21</v>
      </c>
      <c r="E149" s="40">
        <v>44.95</v>
      </c>
      <c r="F149" s="2">
        <v>45822</v>
      </c>
      <c r="G149" s="1" t="s">
        <v>15</v>
      </c>
    </row>
    <row r="150" spans="1:7" x14ac:dyDescent="0.2">
      <c r="A150" t="s">
        <v>160</v>
      </c>
      <c r="B150" s="1" t="s">
        <v>37</v>
      </c>
      <c r="C150" s="1" t="s">
        <v>13</v>
      </c>
      <c r="D150" s="1" t="s">
        <v>32</v>
      </c>
      <c r="E150" s="40">
        <v>53.44</v>
      </c>
      <c r="F150" s="2">
        <v>45822</v>
      </c>
      <c r="G150" s="1" t="s">
        <v>15</v>
      </c>
    </row>
    <row r="151" spans="1:7" x14ac:dyDescent="0.2">
      <c r="A151" t="s">
        <v>187</v>
      </c>
      <c r="B151" s="1" t="s">
        <v>37</v>
      </c>
      <c r="C151" s="1" t="s">
        <v>28</v>
      </c>
      <c r="D151" s="1" t="s">
        <v>32</v>
      </c>
      <c r="E151" s="40">
        <v>96.41</v>
      </c>
      <c r="F151" s="2">
        <v>45822</v>
      </c>
      <c r="G151" s="1" t="s">
        <v>15</v>
      </c>
    </row>
    <row r="152" spans="1:7" x14ac:dyDescent="0.2">
      <c r="A152" t="s">
        <v>261</v>
      </c>
      <c r="B152" s="1" t="s">
        <v>31</v>
      </c>
      <c r="C152" s="1" t="s">
        <v>18</v>
      </c>
      <c r="D152" s="1" t="s">
        <v>32</v>
      </c>
      <c r="E152" s="40">
        <v>63.71</v>
      </c>
      <c r="F152" s="2">
        <v>45822</v>
      </c>
      <c r="G152" s="1" t="s">
        <v>15</v>
      </c>
    </row>
    <row r="153" spans="1:7" x14ac:dyDescent="0.2">
      <c r="A153" t="s">
        <v>314</v>
      </c>
      <c r="B153" s="1" t="s">
        <v>59</v>
      </c>
      <c r="C153" s="1" t="s">
        <v>28</v>
      </c>
      <c r="D153" s="1" t="s">
        <v>14</v>
      </c>
      <c r="E153" s="40">
        <v>76.209999999999994</v>
      </c>
      <c r="F153" s="2">
        <v>45822</v>
      </c>
      <c r="G153" s="1" t="s">
        <v>15</v>
      </c>
    </row>
    <row r="154" spans="1:7" x14ac:dyDescent="0.2">
      <c r="A154" t="s">
        <v>39</v>
      </c>
      <c r="B154" s="1" t="s">
        <v>20</v>
      </c>
      <c r="C154" s="1" t="s">
        <v>26</v>
      </c>
      <c r="D154" s="1" t="s">
        <v>10</v>
      </c>
      <c r="E154" s="40">
        <v>32.17</v>
      </c>
      <c r="F154" s="2">
        <v>45823</v>
      </c>
      <c r="G154" s="1" t="s">
        <v>15</v>
      </c>
    </row>
    <row r="155" spans="1:7" x14ac:dyDescent="0.2">
      <c r="A155" t="s">
        <v>121</v>
      </c>
      <c r="B155" s="1" t="s">
        <v>17</v>
      </c>
      <c r="C155" s="1" t="s">
        <v>26</v>
      </c>
      <c r="D155" s="1" t="s">
        <v>14</v>
      </c>
      <c r="E155" s="40">
        <v>71.81</v>
      </c>
      <c r="F155" s="2">
        <v>45823</v>
      </c>
      <c r="G155" s="1" t="s">
        <v>11</v>
      </c>
    </row>
    <row r="156" spans="1:7" x14ac:dyDescent="0.2">
      <c r="A156" t="s">
        <v>181</v>
      </c>
      <c r="B156" s="1" t="s">
        <v>23</v>
      </c>
      <c r="C156" s="1" t="s">
        <v>13</v>
      </c>
      <c r="D156" s="1" t="s">
        <v>32</v>
      </c>
      <c r="E156" s="40">
        <v>85.81</v>
      </c>
      <c r="F156" s="2">
        <v>45823</v>
      </c>
      <c r="G156" s="1" t="s">
        <v>11</v>
      </c>
    </row>
    <row r="157" spans="1:7" x14ac:dyDescent="0.2">
      <c r="A157" t="s">
        <v>191</v>
      </c>
      <c r="B157" s="1" t="s">
        <v>20</v>
      </c>
      <c r="C157" s="1" t="s">
        <v>18</v>
      </c>
      <c r="D157" s="1" t="s">
        <v>45</v>
      </c>
      <c r="E157" s="40">
        <v>59.48</v>
      </c>
      <c r="F157" s="2">
        <v>45823</v>
      </c>
      <c r="G157" s="1" t="s">
        <v>15</v>
      </c>
    </row>
    <row r="158" spans="1:7" x14ac:dyDescent="0.2">
      <c r="A158" t="s">
        <v>203</v>
      </c>
      <c r="B158" s="1" t="s">
        <v>20</v>
      </c>
      <c r="C158" s="1" t="s">
        <v>13</v>
      </c>
      <c r="D158" s="1" t="s">
        <v>21</v>
      </c>
      <c r="E158" s="40">
        <v>100.68</v>
      </c>
      <c r="F158" s="2">
        <v>45823</v>
      </c>
      <c r="G158" s="1" t="s">
        <v>15</v>
      </c>
    </row>
    <row r="159" spans="1:7" x14ac:dyDescent="0.2">
      <c r="A159" t="s">
        <v>233</v>
      </c>
      <c r="B159" s="1" t="s">
        <v>17</v>
      </c>
      <c r="C159" s="1" t="s">
        <v>13</v>
      </c>
      <c r="D159" s="1" t="s">
        <v>14</v>
      </c>
      <c r="E159" s="40">
        <v>56.55</v>
      </c>
      <c r="F159" s="2">
        <v>45823</v>
      </c>
      <c r="G159" s="1" t="s">
        <v>15</v>
      </c>
    </row>
    <row r="160" spans="1:7" x14ac:dyDescent="0.2">
      <c r="A160" t="s">
        <v>241</v>
      </c>
      <c r="B160" s="1" t="s">
        <v>23</v>
      </c>
      <c r="C160" s="1" t="s">
        <v>9</v>
      </c>
      <c r="D160" s="1" t="s">
        <v>10</v>
      </c>
      <c r="E160" s="40">
        <v>96.28</v>
      </c>
      <c r="F160" s="2">
        <v>45823</v>
      </c>
      <c r="G160" s="1" t="s">
        <v>15</v>
      </c>
    </row>
    <row r="161" spans="1:7" x14ac:dyDescent="0.2">
      <c r="A161" t="s">
        <v>258</v>
      </c>
      <c r="B161" s="1" t="s">
        <v>31</v>
      </c>
      <c r="C161" s="1" t="s">
        <v>13</v>
      </c>
      <c r="D161" s="1" t="s">
        <v>32</v>
      </c>
      <c r="E161" s="40">
        <v>61.74</v>
      </c>
      <c r="F161" s="2">
        <v>45823</v>
      </c>
      <c r="G161" s="1" t="s">
        <v>15</v>
      </c>
    </row>
    <row r="162" spans="1:7" x14ac:dyDescent="0.2">
      <c r="A162" t="s">
        <v>293</v>
      </c>
      <c r="B162" s="1" t="s">
        <v>37</v>
      </c>
      <c r="C162" s="1" t="s">
        <v>13</v>
      </c>
      <c r="D162" s="1" t="s">
        <v>45</v>
      </c>
      <c r="E162" s="40">
        <v>48.81</v>
      </c>
      <c r="F162" s="2">
        <v>45823</v>
      </c>
      <c r="G162" s="1" t="s">
        <v>15</v>
      </c>
    </row>
    <row r="163" spans="1:7" x14ac:dyDescent="0.2">
      <c r="A163" t="s">
        <v>296</v>
      </c>
      <c r="B163" s="1" t="s">
        <v>20</v>
      </c>
      <c r="C163" s="1" t="s">
        <v>9</v>
      </c>
      <c r="D163" s="1" t="s">
        <v>21</v>
      </c>
      <c r="E163" s="40">
        <v>69</v>
      </c>
      <c r="F163" s="2">
        <v>45823</v>
      </c>
      <c r="G163" s="1" t="s">
        <v>11</v>
      </c>
    </row>
    <row r="164" spans="1:7" x14ac:dyDescent="0.2">
      <c r="A164" t="s">
        <v>317</v>
      </c>
      <c r="B164" s="1" t="s">
        <v>34</v>
      </c>
      <c r="C164" s="1" t="s">
        <v>13</v>
      </c>
      <c r="D164" s="1" t="s">
        <v>21</v>
      </c>
      <c r="E164" s="40">
        <v>64.430000000000007</v>
      </c>
      <c r="F164" s="2">
        <v>45823</v>
      </c>
      <c r="G164" s="1" t="s">
        <v>15</v>
      </c>
    </row>
    <row r="165" spans="1:7" x14ac:dyDescent="0.2">
      <c r="A165" t="s">
        <v>78</v>
      </c>
      <c r="B165" s="1" t="s">
        <v>25</v>
      </c>
      <c r="C165" s="1" t="s">
        <v>18</v>
      </c>
      <c r="D165" s="1" t="s">
        <v>45</v>
      </c>
      <c r="E165" s="40">
        <v>88.1</v>
      </c>
      <c r="F165" s="2">
        <v>45824</v>
      </c>
      <c r="G165" s="1" t="s">
        <v>11</v>
      </c>
    </row>
    <row r="166" spans="1:7" x14ac:dyDescent="0.2">
      <c r="A166" t="s">
        <v>117</v>
      </c>
      <c r="B166" s="1" t="s">
        <v>59</v>
      </c>
      <c r="C166" s="1" t="s">
        <v>18</v>
      </c>
      <c r="D166" s="1" t="s">
        <v>10</v>
      </c>
      <c r="E166" s="40">
        <v>92.83</v>
      </c>
      <c r="F166" s="2">
        <v>45824</v>
      </c>
      <c r="G166" s="1" t="s">
        <v>11</v>
      </c>
    </row>
    <row r="167" spans="1:7" x14ac:dyDescent="0.2">
      <c r="A167" t="s">
        <v>133</v>
      </c>
      <c r="B167" s="1" t="s">
        <v>37</v>
      </c>
      <c r="C167" s="1" t="s">
        <v>9</v>
      </c>
      <c r="D167" s="1" t="s">
        <v>21</v>
      </c>
      <c r="E167" s="40">
        <v>90.1</v>
      </c>
      <c r="F167" s="2">
        <v>45824</v>
      </c>
      <c r="G167" s="1" t="s">
        <v>11</v>
      </c>
    </row>
    <row r="168" spans="1:7" x14ac:dyDescent="0.2">
      <c r="A168" t="s">
        <v>169</v>
      </c>
      <c r="B168" s="1" t="s">
        <v>37</v>
      </c>
      <c r="C168" s="1" t="s">
        <v>18</v>
      </c>
      <c r="D168" s="1" t="s">
        <v>21</v>
      </c>
      <c r="E168" s="40">
        <v>112.68</v>
      </c>
      <c r="F168" s="2">
        <v>45824</v>
      </c>
      <c r="G168" s="1" t="s">
        <v>11</v>
      </c>
    </row>
    <row r="169" spans="1:7" x14ac:dyDescent="0.2">
      <c r="A169" t="s">
        <v>176</v>
      </c>
      <c r="B169" s="1" t="s">
        <v>17</v>
      </c>
      <c r="C169" s="1" t="s">
        <v>28</v>
      </c>
      <c r="D169" s="1" t="s">
        <v>45</v>
      </c>
      <c r="E169" s="40">
        <v>93.05</v>
      </c>
      <c r="F169" s="2">
        <v>45824</v>
      </c>
      <c r="G169" s="1" t="s">
        <v>15</v>
      </c>
    </row>
    <row r="170" spans="1:7" x14ac:dyDescent="0.2">
      <c r="A170" t="s">
        <v>209</v>
      </c>
      <c r="B170" s="1" t="s">
        <v>31</v>
      </c>
      <c r="C170" s="1" t="s">
        <v>26</v>
      </c>
      <c r="D170" s="1" t="s">
        <v>14</v>
      </c>
      <c r="E170" s="40">
        <v>58.57</v>
      </c>
      <c r="F170" s="2">
        <v>45824</v>
      </c>
      <c r="G170" s="1" t="s">
        <v>15</v>
      </c>
    </row>
    <row r="171" spans="1:7" x14ac:dyDescent="0.2">
      <c r="A171" t="s">
        <v>254</v>
      </c>
      <c r="B171" s="1" t="s">
        <v>37</v>
      </c>
      <c r="C171" s="1" t="s">
        <v>18</v>
      </c>
      <c r="D171" s="1" t="s">
        <v>14</v>
      </c>
      <c r="E171" s="40">
        <v>81.61</v>
      </c>
      <c r="F171" s="2">
        <v>45824</v>
      </c>
      <c r="G171" s="1" t="s">
        <v>15</v>
      </c>
    </row>
    <row r="172" spans="1:7" x14ac:dyDescent="0.2">
      <c r="A172" t="s">
        <v>278</v>
      </c>
      <c r="B172" s="1" t="s">
        <v>31</v>
      </c>
      <c r="C172" s="1" t="s">
        <v>9</v>
      </c>
      <c r="D172" s="1" t="s">
        <v>45</v>
      </c>
      <c r="E172" s="40">
        <v>48.48</v>
      </c>
      <c r="F172" s="2">
        <v>45824</v>
      </c>
      <c r="G172" s="1" t="s">
        <v>15</v>
      </c>
    </row>
    <row r="173" spans="1:7" x14ac:dyDescent="0.2">
      <c r="A173" t="s">
        <v>281</v>
      </c>
      <c r="B173" s="1" t="s">
        <v>23</v>
      </c>
      <c r="C173" s="1" t="s">
        <v>18</v>
      </c>
      <c r="D173" s="1" t="s">
        <v>14</v>
      </c>
      <c r="E173" s="40">
        <v>105.81</v>
      </c>
      <c r="F173" s="2">
        <v>45824</v>
      </c>
      <c r="G173" s="1" t="s">
        <v>15</v>
      </c>
    </row>
    <row r="174" spans="1:7" x14ac:dyDescent="0.2">
      <c r="A174" t="s">
        <v>294</v>
      </c>
      <c r="B174" s="1" t="s">
        <v>25</v>
      </c>
      <c r="C174" s="1" t="s">
        <v>28</v>
      </c>
      <c r="D174" s="1" t="s">
        <v>14</v>
      </c>
      <c r="E174" s="40">
        <v>120.81</v>
      </c>
      <c r="F174" s="2">
        <v>45824</v>
      </c>
      <c r="G174" s="1" t="s">
        <v>15</v>
      </c>
    </row>
    <row r="175" spans="1:7" x14ac:dyDescent="0.2">
      <c r="A175" t="s">
        <v>46</v>
      </c>
      <c r="B175" s="1" t="s">
        <v>31</v>
      </c>
      <c r="C175" s="1" t="s">
        <v>26</v>
      </c>
      <c r="D175" s="1" t="s">
        <v>10</v>
      </c>
      <c r="E175" s="40">
        <v>44.69</v>
      </c>
      <c r="F175" s="2">
        <v>45825</v>
      </c>
      <c r="G175" s="1" t="s">
        <v>15</v>
      </c>
    </row>
    <row r="176" spans="1:7" x14ac:dyDescent="0.2">
      <c r="A176" t="s">
        <v>81</v>
      </c>
      <c r="B176" s="1" t="s">
        <v>8</v>
      </c>
      <c r="C176" s="1" t="s">
        <v>13</v>
      </c>
      <c r="D176" s="1" t="s">
        <v>45</v>
      </c>
      <c r="E176" s="40">
        <v>95.29</v>
      </c>
      <c r="F176" s="2">
        <v>45825</v>
      </c>
      <c r="G176" s="1" t="s">
        <v>15</v>
      </c>
    </row>
    <row r="177" spans="1:7" x14ac:dyDescent="0.2">
      <c r="A177" t="s">
        <v>114</v>
      </c>
      <c r="B177" s="1" t="s">
        <v>37</v>
      </c>
      <c r="C177" s="1" t="s">
        <v>28</v>
      </c>
      <c r="D177" s="1" t="s">
        <v>10</v>
      </c>
      <c r="E177" s="40">
        <v>102.89</v>
      </c>
      <c r="F177" s="2">
        <v>45825</v>
      </c>
      <c r="G177" s="1" t="s">
        <v>15</v>
      </c>
    </row>
    <row r="178" spans="1:7" x14ac:dyDescent="0.2">
      <c r="A178" t="s">
        <v>115</v>
      </c>
      <c r="B178" s="1" t="s">
        <v>59</v>
      </c>
      <c r="C178" s="1" t="s">
        <v>18</v>
      </c>
      <c r="D178" s="1" t="s">
        <v>32</v>
      </c>
      <c r="E178" s="40">
        <v>88.22</v>
      </c>
      <c r="F178" s="2">
        <v>45825</v>
      </c>
      <c r="G178" s="1" t="s">
        <v>15</v>
      </c>
    </row>
    <row r="179" spans="1:7" x14ac:dyDescent="0.2">
      <c r="A179" t="s">
        <v>215</v>
      </c>
      <c r="B179" s="1" t="s">
        <v>25</v>
      </c>
      <c r="C179" s="1" t="s">
        <v>26</v>
      </c>
      <c r="D179" s="1" t="s">
        <v>10</v>
      </c>
      <c r="E179" s="40">
        <v>78.180000000000007</v>
      </c>
      <c r="F179" s="2">
        <v>45825</v>
      </c>
      <c r="G179" s="1" t="s">
        <v>15</v>
      </c>
    </row>
    <row r="180" spans="1:7" x14ac:dyDescent="0.2">
      <c r="A180" t="s">
        <v>29</v>
      </c>
      <c r="B180" s="1" t="s">
        <v>23</v>
      </c>
      <c r="C180" s="1" t="s">
        <v>18</v>
      </c>
      <c r="D180" s="1" t="s">
        <v>21</v>
      </c>
      <c r="E180" s="40">
        <v>99.19</v>
      </c>
      <c r="F180" s="2">
        <v>45826</v>
      </c>
      <c r="G180" s="1" t="s">
        <v>11</v>
      </c>
    </row>
    <row r="181" spans="1:7" x14ac:dyDescent="0.2">
      <c r="A181" t="s">
        <v>95</v>
      </c>
      <c r="B181" s="1" t="s">
        <v>20</v>
      </c>
      <c r="C181" s="1" t="s">
        <v>9</v>
      </c>
      <c r="D181" s="1" t="s">
        <v>45</v>
      </c>
      <c r="E181" s="40">
        <v>105.09</v>
      </c>
      <c r="F181" s="2">
        <v>45826</v>
      </c>
      <c r="G181" s="1" t="s">
        <v>11</v>
      </c>
    </row>
    <row r="182" spans="1:7" x14ac:dyDescent="0.2">
      <c r="A182" t="s">
        <v>195</v>
      </c>
      <c r="B182" s="1" t="s">
        <v>59</v>
      </c>
      <c r="C182" s="1" t="s">
        <v>13</v>
      </c>
      <c r="D182" s="1" t="s">
        <v>14</v>
      </c>
      <c r="E182" s="40">
        <v>127.42</v>
      </c>
      <c r="F182" s="2">
        <v>45826</v>
      </c>
      <c r="G182" s="1" t="s">
        <v>15</v>
      </c>
    </row>
    <row r="183" spans="1:7" x14ac:dyDescent="0.2">
      <c r="A183" t="s">
        <v>257</v>
      </c>
      <c r="B183" s="1" t="s">
        <v>59</v>
      </c>
      <c r="C183" s="1" t="s">
        <v>13</v>
      </c>
      <c r="D183" s="1" t="s">
        <v>45</v>
      </c>
      <c r="E183" s="40">
        <v>96.99</v>
      </c>
      <c r="F183" s="2">
        <v>45826</v>
      </c>
      <c r="G183" s="1" t="s">
        <v>15</v>
      </c>
    </row>
    <row r="184" spans="1:7" x14ac:dyDescent="0.2">
      <c r="A184" t="s">
        <v>264</v>
      </c>
      <c r="B184" s="1" t="s">
        <v>59</v>
      </c>
      <c r="C184" s="1" t="s">
        <v>18</v>
      </c>
      <c r="D184" s="1" t="s">
        <v>45</v>
      </c>
      <c r="E184" s="40">
        <v>29.37</v>
      </c>
      <c r="F184" s="2">
        <v>45826</v>
      </c>
      <c r="G184" s="1" t="s">
        <v>15</v>
      </c>
    </row>
    <row r="185" spans="1:7" x14ac:dyDescent="0.2">
      <c r="A185" t="s">
        <v>298</v>
      </c>
      <c r="B185" s="1" t="s">
        <v>20</v>
      </c>
      <c r="C185" s="1" t="s">
        <v>28</v>
      </c>
      <c r="D185" s="1" t="s">
        <v>45</v>
      </c>
      <c r="E185" s="40">
        <v>116.03</v>
      </c>
      <c r="F185" s="2">
        <v>45826</v>
      </c>
      <c r="G185" s="1" t="s">
        <v>11</v>
      </c>
    </row>
    <row r="186" spans="1:7" x14ac:dyDescent="0.2">
      <c r="A186" t="s">
        <v>12</v>
      </c>
      <c r="B186" s="1" t="s">
        <v>8</v>
      </c>
      <c r="C186" s="1" t="s">
        <v>13</v>
      </c>
      <c r="D186" s="1" t="s">
        <v>14</v>
      </c>
      <c r="E186" s="40">
        <v>76.540000000000006</v>
      </c>
      <c r="F186" s="2">
        <v>45827</v>
      </c>
      <c r="G186" s="1" t="s">
        <v>15</v>
      </c>
    </row>
    <row r="187" spans="1:7" x14ac:dyDescent="0.2">
      <c r="A187" t="s">
        <v>66</v>
      </c>
      <c r="B187" s="1" t="s">
        <v>34</v>
      </c>
      <c r="C187" s="1" t="s">
        <v>26</v>
      </c>
      <c r="D187" s="1" t="s">
        <v>45</v>
      </c>
      <c r="E187" s="40">
        <v>46.8</v>
      </c>
      <c r="F187" s="2">
        <v>45827</v>
      </c>
      <c r="G187" s="1" t="s">
        <v>15</v>
      </c>
    </row>
    <row r="188" spans="1:7" x14ac:dyDescent="0.2">
      <c r="A188" t="s">
        <v>145</v>
      </c>
      <c r="B188" s="1" t="s">
        <v>31</v>
      </c>
      <c r="C188" s="1" t="s">
        <v>26</v>
      </c>
      <c r="D188" s="1" t="s">
        <v>14</v>
      </c>
      <c r="E188" s="40">
        <v>50.78</v>
      </c>
      <c r="F188" s="2">
        <v>45827</v>
      </c>
      <c r="G188" s="1" t="s">
        <v>11</v>
      </c>
    </row>
    <row r="189" spans="1:7" x14ac:dyDescent="0.2">
      <c r="A189" t="s">
        <v>201</v>
      </c>
      <c r="B189" s="1" t="s">
        <v>17</v>
      </c>
      <c r="C189" s="1" t="s">
        <v>9</v>
      </c>
      <c r="D189" s="1" t="s">
        <v>45</v>
      </c>
      <c r="E189" s="40">
        <v>88.53</v>
      </c>
      <c r="F189" s="2">
        <v>45827</v>
      </c>
      <c r="G189" s="1" t="s">
        <v>15</v>
      </c>
    </row>
    <row r="190" spans="1:7" x14ac:dyDescent="0.2">
      <c r="A190" t="s">
        <v>239</v>
      </c>
      <c r="B190" s="1" t="s">
        <v>37</v>
      </c>
      <c r="C190" s="1" t="s">
        <v>13</v>
      </c>
      <c r="D190" s="1" t="s">
        <v>21</v>
      </c>
      <c r="E190" s="40">
        <v>108.39</v>
      </c>
      <c r="F190" s="2">
        <v>45827</v>
      </c>
      <c r="G190" s="1" t="s">
        <v>11</v>
      </c>
    </row>
    <row r="191" spans="1:7" x14ac:dyDescent="0.2">
      <c r="A191" t="s">
        <v>246</v>
      </c>
      <c r="B191" s="1" t="s">
        <v>8</v>
      </c>
      <c r="C191" s="1" t="s">
        <v>13</v>
      </c>
      <c r="D191" s="1" t="s">
        <v>10</v>
      </c>
      <c r="E191" s="40">
        <v>67.87</v>
      </c>
      <c r="F191" s="2">
        <v>45827</v>
      </c>
      <c r="G191" s="1" t="s">
        <v>11</v>
      </c>
    </row>
    <row r="192" spans="1:7" x14ac:dyDescent="0.2">
      <c r="A192" t="s">
        <v>252</v>
      </c>
      <c r="B192" s="1" t="s">
        <v>37</v>
      </c>
      <c r="C192" s="1" t="s">
        <v>9</v>
      </c>
      <c r="D192" s="1" t="s">
        <v>45</v>
      </c>
      <c r="E192" s="40">
        <v>68.2</v>
      </c>
      <c r="F192" s="2">
        <v>45827</v>
      </c>
      <c r="G192" s="1" t="s">
        <v>11</v>
      </c>
    </row>
    <row r="193" spans="1:7" x14ac:dyDescent="0.2">
      <c r="A193" t="s">
        <v>38</v>
      </c>
      <c r="B193" s="1" t="s">
        <v>34</v>
      </c>
      <c r="C193" s="1" t="s">
        <v>9</v>
      </c>
      <c r="D193" s="1" t="s">
        <v>14</v>
      </c>
      <c r="E193" s="40">
        <v>86.05</v>
      </c>
      <c r="F193" s="2">
        <v>45828</v>
      </c>
      <c r="G193" s="1" t="s">
        <v>11</v>
      </c>
    </row>
    <row r="194" spans="1:7" x14ac:dyDescent="0.2">
      <c r="A194" t="s">
        <v>106</v>
      </c>
      <c r="B194" s="1" t="s">
        <v>25</v>
      </c>
      <c r="C194" s="1" t="s">
        <v>9</v>
      </c>
      <c r="D194" s="1" t="s">
        <v>21</v>
      </c>
      <c r="E194" s="40">
        <v>82.29</v>
      </c>
      <c r="F194" s="2">
        <v>45828</v>
      </c>
      <c r="G194" s="1" t="s">
        <v>11</v>
      </c>
    </row>
    <row r="195" spans="1:7" x14ac:dyDescent="0.2">
      <c r="A195" t="s">
        <v>122</v>
      </c>
      <c r="B195" s="1" t="s">
        <v>37</v>
      </c>
      <c r="C195" s="1" t="s">
        <v>13</v>
      </c>
      <c r="D195" s="1" t="s">
        <v>45</v>
      </c>
      <c r="E195" s="40">
        <v>70.2</v>
      </c>
      <c r="F195" s="2">
        <v>45828</v>
      </c>
      <c r="G195" s="1" t="s">
        <v>15</v>
      </c>
    </row>
    <row r="196" spans="1:7" x14ac:dyDescent="0.2">
      <c r="A196" t="s">
        <v>143</v>
      </c>
      <c r="B196" s="1" t="s">
        <v>23</v>
      </c>
      <c r="C196" s="1" t="s">
        <v>9</v>
      </c>
      <c r="D196" s="1" t="s">
        <v>10</v>
      </c>
      <c r="E196" s="40">
        <v>87.54</v>
      </c>
      <c r="F196" s="2">
        <v>45828</v>
      </c>
      <c r="G196" s="1" t="s">
        <v>11</v>
      </c>
    </row>
    <row r="197" spans="1:7" x14ac:dyDescent="0.2">
      <c r="A197" t="s">
        <v>153</v>
      </c>
      <c r="B197" s="1" t="s">
        <v>34</v>
      </c>
      <c r="C197" s="1" t="s">
        <v>28</v>
      </c>
      <c r="D197" s="1" t="s">
        <v>45</v>
      </c>
      <c r="E197" s="40">
        <v>134.76</v>
      </c>
      <c r="F197" s="2">
        <v>45828</v>
      </c>
      <c r="G197" s="1" t="s">
        <v>15</v>
      </c>
    </row>
    <row r="198" spans="1:7" x14ac:dyDescent="0.2">
      <c r="A198" t="s">
        <v>171</v>
      </c>
      <c r="B198" s="1" t="s">
        <v>34</v>
      </c>
      <c r="C198" s="1" t="s">
        <v>13</v>
      </c>
      <c r="D198" s="1" t="s">
        <v>21</v>
      </c>
      <c r="E198" s="40">
        <v>84.62</v>
      </c>
      <c r="F198" s="2">
        <v>45828</v>
      </c>
      <c r="G198" s="1" t="s">
        <v>11</v>
      </c>
    </row>
    <row r="199" spans="1:7" x14ac:dyDescent="0.2">
      <c r="A199" t="s">
        <v>173</v>
      </c>
      <c r="B199" s="1" t="s">
        <v>23</v>
      </c>
      <c r="C199" s="1" t="s">
        <v>13</v>
      </c>
      <c r="D199" s="1" t="s">
        <v>14</v>
      </c>
      <c r="E199" s="40">
        <v>99.55</v>
      </c>
      <c r="F199" s="2">
        <v>45828</v>
      </c>
      <c r="G199" s="1" t="s">
        <v>11</v>
      </c>
    </row>
    <row r="200" spans="1:7" x14ac:dyDescent="0.2">
      <c r="A200" t="s">
        <v>192</v>
      </c>
      <c r="B200" s="1" t="s">
        <v>17</v>
      </c>
      <c r="C200" s="1" t="s">
        <v>13</v>
      </c>
      <c r="D200" s="1" t="s">
        <v>32</v>
      </c>
      <c r="E200" s="40">
        <v>104.08</v>
      </c>
      <c r="F200" s="2">
        <v>45828</v>
      </c>
      <c r="G200" s="1" t="s">
        <v>15</v>
      </c>
    </row>
    <row r="201" spans="1:7" x14ac:dyDescent="0.2">
      <c r="A201" t="s">
        <v>216</v>
      </c>
      <c r="B201" s="1" t="s">
        <v>59</v>
      </c>
      <c r="C201" s="1" t="s">
        <v>26</v>
      </c>
      <c r="D201" s="1" t="s">
        <v>14</v>
      </c>
      <c r="E201" s="40">
        <v>58.83</v>
      </c>
      <c r="F201" s="2">
        <v>45828</v>
      </c>
      <c r="G201" s="1" t="s">
        <v>15</v>
      </c>
    </row>
    <row r="202" spans="1:7" x14ac:dyDescent="0.2">
      <c r="A202" t="s">
        <v>224</v>
      </c>
      <c r="B202" s="1" t="s">
        <v>37</v>
      </c>
      <c r="C202" s="1" t="s">
        <v>9</v>
      </c>
      <c r="D202" s="1" t="s">
        <v>10</v>
      </c>
      <c r="E202" s="40">
        <v>57.9</v>
      </c>
      <c r="F202" s="2">
        <v>45828</v>
      </c>
      <c r="G202" s="1" t="s">
        <v>15</v>
      </c>
    </row>
    <row r="203" spans="1:7" x14ac:dyDescent="0.2">
      <c r="A203" t="s">
        <v>240</v>
      </c>
      <c r="B203" s="1" t="s">
        <v>31</v>
      </c>
      <c r="C203" s="1" t="s">
        <v>18</v>
      </c>
      <c r="D203" s="1" t="s">
        <v>21</v>
      </c>
      <c r="E203" s="40">
        <v>103.85</v>
      </c>
      <c r="F203" s="2">
        <v>45828</v>
      </c>
      <c r="G203" s="1" t="s">
        <v>15</v>
      </c>
    </row>
    <row r="204" spans="1:7" x14ac:dyDescent="0.2">
      <c r="A204" t="s">
        <v>274</v>
      </c>
      <c r="B204" s="1" t="s">
        <v>23</v>
      </c>
      <c r="C204" s="1" t="s">
        <v>9</v>
      </c>
      <c r="D204" s="1" t="s">
        <v>45</v>
      </c>
      <c r="E204" s="40">
        <v>68.13</v>
      </c>
      <c r="F204" s="2">
        <v>45828</v>
      </c>
      <c r="G204" s="1" t="s">
        <v>11</v>
      </c>
    </row>
    <row r="205" spans="1:7" x14ac:dyDescent="0.2">
      <c r="A205" t="s">
        <v>276</v>
      </c>
      <c r="B205" s="1" t="s">
        <v>23</v>
      </c>
      <c r="C205" s="1" t="s">
        <v>28</v>
      </c>
      <c r="D205" s="1" t="s">
        <v>21</v>
      </c>
      <c r="E205" s="40">
        <v>124.14</v>
      </c>
      <c r="F205" s="2">
        <v>45828</v>
      </c>
      <c r="G205" s="1" t="s">
        <v>15</v>
      </c>
    </row>
    <row r="206" spans="1:7" x14ac:dyDescent="0.2">
      <c r="A206" t="s">
        <v>307</v>
      </c>
      <c r="B206" s="1" t="s">
        <v>23</v>
      </c>
      <c r="C206" s="1" t="s">
        <v>28</v>
      </c>
      <c r="D206" s="1" t="s">
        <v>10</v>
      </c>
      <c r="E206" s="40">
        <v>70.37</v>
      </c>
      <c r="F206" s="2">
        <v>45828</v>
      </c>
      <c r="G206" s="1" t="s">
        <v>11</v>
      </c>
    </row>
    <row r="207" spans="1:7" x14ac:dyDescent="0.2">
      <c r="A207" t="s">
        <v>103</v>
      </c>
      <c r="B207" s="1" t="s">
        <v>23</v>
      </c>
      <c r="C207" s="1" t="s">
        <v>9</v>
      </c>
      <c r="D207" s="1" t="s">
        <v>32</v>
      </c>
      <c r="E207" s="40">
        <v>100.55</v>
      </c>
      <c r="F207" s="2">
        <v>45829</v>
      </c>
      <c r="G207" s="1" t="s">
        <v>15</v>
      </c>
    </row>
    <row r="208" spans="1:7" x14ac:dyDescent="0.2">
      <c r="A208" t="s">
        <v>119</v>
      </c>
      <c r="B208" s="1" t="s">
        <v>37</v>
      </c>
      <c r="C208" s="1" t="s">
        <v>26</v>
      </c>
      <c r="D208" s="1" t="s">
        <v>10</v>
      </c>
      <c r="E208" s="40">
        <v>104.22</v>
      </c>
      <c r="F208" s="2">
        <v>45829</v>
      </c>
      <c r="G208" s="1" t="s">
        <v>11</v>
      </c>
    </row>
    <row r="209" spans="1:7" x14ac:dyDescent="0.2">
      <c r="A209" t="s">
        <v>125</v>
      </c>
      <c r="B209" s="1" t="s">
        <v>23</v>
      </c>
      <c r="C209" s="1" t="s">
        <v>13</v>
      </c>
      <c r="D209" s="1" t="s">
        <v>21</v>
      </c>
      <c r="E209" s="40">
        <v>86.53</v>
      </c>
      <c r="F209" s="2">
        <v>45829</v>
      </c>
      <c r="G209" s="1" t="s">
        <v>11</v>
      </c>
    </row>
    <row r="210" spans="1:7" x14ac:dyDescent="0.2">
      <c r="A210" t="s">
        <v>149</v>
      </c>
      <c r="B210" s="1" t="s">
        <v>37</v>
      </c>
      <c r="C210" s="1" t="s">
        <v>28</v>
      </c>
      <c r="D210" s="1" t="s">
        <v>32</v>
      </c>
      <c r="E210" s="40">
        <v>57.27</v>
      </c>
      <c r="F210" s="2">
        <v>45829</v>
      </c>
      <c r="G210" s="1" t="s">
        <v>15</v>
      </c>
    </row>
    <row r="211" spans="1:7" x14ac:dyDescent="0.2">
      <c r="A211" t="s">
        <v>150</v>
      </c>
      <c r="B211" s="1" t="s">
        <v>59</v>
      </c>
      <c r="C211" s="1" t="s">
        <v>26</v>
      </c>
      <c r="D211" s="1" t="s">
        <v>45</v>
      </c>
      <c r="E211" s="40">
        <v>115.07</v>
      </c>
      <c r="F211" s="2">
        <v>45829</v>
      </c>
      <c r="G211" s="1" t="s">
        <v>15</v>
      </c>
    </row>
    <row r="212" spans="1:7" x14ac:dyDescent="0.2">
      <c r="A212" t="s">
        <v>179</v>
      </c>
      <c r="B212" s="1" t="s">
        <v>31</v>
      </c>
      <c r="C212" s="1" t="s">
        <v>13</v>
      </c>
      <c r="D212" s="1" t="s">
        <v>10</v>
      </c>
      <c r="E212" s="40">
        <v>88.66</v>
      </c>
      <c r="F212" s="2">
        <v>45829</v>
      </c>
      <c r="G212" s="1" t="s">
        <v>11</v>
      </c>
    </row>
    <row r="213" spans="1:7" x14ac:dyDescent="0.2">
      <c r="A213" t="s">
        <v>236</v>
      </c>
      <c r="B213" s="1" t="s">
        <v>8</v>
      </c>
      <c r="C213" s="1" t="s">
        <v>28</v>
      </c>
      <c r="D213" s="1" t="s">
        <v>32</v>
      </c>
      <c r="E213" s="40">
        <v>92.88</v>
      </c>
      <c r="F213" s="2">
        <v>45829</v>
      </c>
      <c r="G213" s="1" t="s">
        <v>15</v>
      </c>
    </row>
    <row r="214" spans="1:7" x14ac:dyDescent="0.2">
      <c r="A214" t="s">
        <v>297</v>
      </c>
      <c r="B214" s="1" t="s">
        <v>17</v>
      </c>
      <c r="C214" s="1" t="s">
        <v>9</v>
      </c>
      <c r="D214" s="1" t="s">
        <v>14</v>
      </c>
      <c r="E214" s="40">
        <v>83.27</v>
      </c>
      <c r="F214" s="2">
        <v>45829</v>
      </c>
      <c r="G214" s="1" t="s">
        <v>11</v>
      </c>
    </row>
    <row r="215" spans="1:7" x14ac:dyDescent="0.2">
      <c r="A215" t="s">
        <v>33</v>
      </c>
      <c r="B215" s="1" t="s">
        <v>34</v>
      </c>
      <c r="C215" s="1" t="s">
        <v>18</v>
      </c>
      <c r="D215" s="1" t="s">
        <v>14</v>
      </c>
      <c r="E215" s="40">
        <v>93.56</v>
      </c>
      <c r="F215" s="2">
        <v>45830</v>
      </c>
      <c r="G215" s="1" t="s">
        <v>11</v>
      </c>
    </row>
    <row r="216" spans="1:7" x14ac:dyDescent="0.2">
      <c r="A216" t="s">
        <v>40</v>
      </c>
      <c r="B216" s="1" t="s">
        <v>23</v>
      </c>
      <c r="C216" s="1" t="s">
        <v>13</v>
      </c>
      <c r="D216" s="1" t="s">
        <v>10</v>
      </c>
      <c r="E216" s="40">
        <v>36.880000000000003</v>
      </c>
      <c r="F216" s="2">
        <v>45830</v>
      </c>
      <c r="G216" s="1" t="s">
        <v>15</v>
      </c>
    </row>
    <row r="217" spans="1:7" x14ac:dyDescent="0.2">
      <c r="A217" t="s">
        <v>49</v>
      </c>
      <c r="B217" s="1" t="s">
        <v>20</v>
      </c>
      <c r="C217" s="1" t="s">
        <v>13</v>
      </c>
      <c r="D217" s="1" t="s">
        <v>14</v>
      </c>
      <c r="E217" s="40">
        <v>81.69</v>
      </c>
      <c r="F217" s="2">
        <v>45830</v>
      </c>
      <c r="G217" s="1" t="s">
        <v>11</v>
      </c>
    </row>
    <row r="218" spans="1:7" x14ac:dyDescent="0.2">
      <c r="A218" t="s">
        <v>65</v>
      </c>
      <c r="B218" s="1" t="s">
        <v>8</v>
      </c>
      <c r="C218" s="1" t="s">
        <v>26</v>
      </c>
      <c r="D218" s="1" t="s">
        <v>32</v>
      </c>
      <c r="E218" s="40">
        <v>31.03</v>
      </c>
      <c r="F218" s="2">
        <v>45830</v>
      </c>
      <c r="G218" s="1" t="s">
        <v>15</v>
      </c>
    </row>
    <row r="219" spans="1:7" x14ac:dyDescent="0.2">
      <c r="A219" t="s">
        <v>76</v>
      </c>
      <c r="B219" s="1" t="s">
        <v>37</v>
      </c>
      <c r="C219" s="1" t="s">
        <v>28</v>
      </c>
      <c r="D219" s="1" t="s">
        <v>45</v>
      </c>
      <c r="E219" s="40">
        <v>88.59</v>
      </c>
      <c r="F219" s="2">
        <v>45830</v>
      </c>
      <c r="G219" s="1" t="s">
        <v>15</v>
      </c>
    </row>
    <row r="220" spans="1:7" x14ac:dyDescent="0.2">
      <c r="A220" t="s">
        <v>90</v>
      </c>
      <c r="B220" s="1" t="s">
        <v>34</v>
      </c>
      <c r="C220" s="1" t="s">
        <v>9</v>
      </c>
      <c r="D220" s="1" t="s">
        <v>10</v>
      </c>
      <c r="E220" s="40">
        <v>52.34</v>
      </c>
      <c r="F220" s="2">
        <v>45830</v>
      </c>
      <c r="G220" s="1" t="s">
        <v>15</v>
      </c>
    </row>
    <row r="221" spans="1:7" x14ac:dyDescent="0.2">
      <c r="A221" t="s">
        <v>147</v>
      </c>
      <c r="B221" s="1" t="s">
        <v>17</v>
      </c>
      <c r="C221" s="1" t="s">
        <v>13</v>
      </c>
      <c r="D221" s="1" t="s">
        <v>21</v>
      </c>
      <c r="E221" s="40">
        <v>98.8</v>
      </c>
      <c r="F221" s="2">
        <v>45830</v>
      </c>
      <c r="G221" s="1" t="s">
        <v>15</v>
      </c>
    </row>
    <row r="222" spans="1:7" x14ac:dyDescent="0.2">
      <c r="A222" t="s">
        <v>159</v>
      </c>
      <c r="B222" s="1" t="s">
        <v>31</v>
      </c>
      <c r="C222" s="1" t="s">
        <v>26</v>
      </c>
      <c r="D222" s="1" t="s">
        <v>32</v>
      </c>
      <c r="E222" s="40">
        <v>81.709999999999994</v>
      </c>
      <c r="F222" s="2">
        <v>45830</v>
      </c>
      <c r="G222" s="1" t="s">
        <v>15</v>
      </c>
    </row>
    <row r="223" spans="1:7" x14ac:dyDescent="0.2">
      <c r="A223" t="s">
        <v>174</v>
      </c>
      <c r="B223" s="1" t="s">
        <v>34</v>
      </c>
      <c r="C223" s="1" t="s">
        <v>26</v>
      </c>
      <c r="D223" s="1" t="s">
        <v>32</v>
      </c>
      <c r="E223" s="40">
        <v>49.08</v>
      </c>
      <c r="F223" s="2">
        <v>45830</v>
      </c>
      <c r="G223" s="1" t="s">
        <v>11</v>
      </c>
    </row>
    <row r="224" spans="1:7" x14ac:dyDescent="0.2">
      <c r="A224" t="s">
        <v>242</v>
      </c>
      <c r="B224" s="1" t="s">
        <v>34</v>
      </c>
      <c r="C224" s="1" t="s">
        <v>9</v>
      </c>
      <c r="D224" s="1" t="s">
        <v>14</v>
      </c>
      <c r="E224" s="40">
        <v>72.12</v>
      </c>
      <c r="F224" s="2">
        <v>45830</v>
      </c>
      <c r="G224" s="1" t="s">
        <v>15</v>
      </c>
    </row>
    <row r="225" spans="1:7" x14ac:dyDescent="0.2">
      <c r="A225" t="s">
        <v>244</v>
      </c>
      <c r="B225" s="1" t="s">
        <v>34</v>
      </c>
      <c r="C225" s="1" t="s">
        <v>28</v>
      </c>
      <c r="D225" s="1" t="s">
        <v>14</v>
      </c>
      <c r="E225" s="40">
        <v>60.68</v>
      </c>
      <c r="F225" s="2">
        <v>45830</v>
      </c>
      <c r="G225" s="1" t="s">
        <v>11</v>
      </c>
    </row>
    <row r="226" spans="1:7" x14ac:dyDescent="0.2">
      <c r="A226" t="s">
        <v>22</v>
      </c>
      <c r="B226" s="1" t="s">
        <v>23</v>
      </c>
      <c r="C226" s="1" t="s">
        <v>18</v>
      </c>
      <c r="D226" s="1" t="s">
        <v>10</v>
      </c>
      <c r="E226" s="40">
        <v>74.150000000000006</v>
      </c>
      <c r="F226" s="2">
        <v>45831</v>
      </c>
      <c r="G226" s="1" t="s">
        <v>15</v>
      </c>
    </row>
    <row r="227" spans="1:7" x14ac:dyDescent="0.2">
      <c r="A227" t="s">
        <v>93</v>
      </c>
      <c r="B227" s="1" t="s">
        <v>23</v>
      </c>
      <c r="C227" s="1" t="s">
        <v>28</v>
      </c>
      <c r="D227" s="1" t="s">
        <v>45</v>
      </c>
      <c r="E227" s="40">
        <v>113.91</v>
      </c>
      <c r="F227" s="2">
        <v>45831</v>
      </c>
      <c r="G227" s="1" t="s">
        <v>15</v>
      </c>
    </row>
    <row r="228" spans="1:7" x14ac:dyDescent="0.2">
      <c r="A228" t="s">
        <v>118</v>
      </c>
      <c r="B228" s="1" t="s">
        <v>37</v>
      </c>
      <c r="C228" s="1" t="s">
        <v>13</v>
      </c>
      <c r="D228" s="1" t="s">
        <v>10</v>
      </c>
      <c r="E228" s="40">
        <v>82.43</v>
      </c>
      <c r="F228" s="2">
        <v>45831</v>
      </c>
      <c r="G228" s="1" t="s">
        <v>15</v>
      </c>
    </row>
    <row r="229" spans="1:7" x14ac:dyDescent="0.2">
      <c r="A229" t="s">
        <v>157</v>
      </c>
      <c r="B229" s="1" t="s">
        <v>31</v>
      </c>
      <c r="C229" s="1" t="s">
        <v>13</v>
      </c>
      <c r="D229" s="1" t="s">
        <v>10</v>
      </c>
      <c r="E229" s="40">
        <v>67.41</v>
      </c>
      <c r="F229" s="2">
        <v>45831</v>
      </c>
      <c r="G229" s="1" t="s">
        <v>15</v>
      </c>
    </row>
    <row r="230" spans="1:7" x14ac:dyDescent="0.2">
      <c r="A230" t="s">
        <v>166</v>
      </c>
      <c r="B230" s="1" t="s">
        <v>17</v>
      </c>
      <c r="C230" s="1" t="s">
        <v>13</v>
      </c>
      <c r="D230" s="1" t="s">
        <v>32</v>
      </c>
      <c r="E230" s="40">
        <v>100.34</v>
      </c>
      <c r="F230" s="2">
        <v>45831</v>
      </c>
      <c r="G230" s="1" t="s">
        <v>11</v>
      </c>
    </row>
    <row r="231" spans="1:7" x14ac:dyDescent="0.2">
      <c r="A231" t="s">
        <v>177</v>
      </c>
      <c r="B231" s="1" t="s">
        <v>17</v>
      </c>
      <c r="C231" s="1" t="s">
        <v>9</v>
      </c>
      <c r="D231" s="1" t="s">
        <v>32</v>
      </c>
      <c r="E231" s="40">
        <v>87.42</v>
      </c>
      <c r="F231" s="2">
        <v>45831</v>
      </c>
      <c r="G231" s="1" t="s">
        <v>15</v>
      </c>
    </row>
    <row r="232" spans="1:7" x14ac:dyDescent="0.2">
      <c r="A232" t="s">
        <v>197</v>
      </c>
      <c r="B232" s="1" t="s">
        <v>37</v>
      </c>
      <c r="C232" s="1" t="s">
        <v>9</v>
      </c>
      <c r="D232" s="1" t="s">
        <v>45</v>
      </c>
      <c r="E232" s="40">
        <v>61.16</v>
      </c>
      <c r="F232" s="2">
        <v>45831</v>
      </c>
      <c r="G232" s="1" t="s">
        <v>15</v>
      </c>
    </row>
    <row r="233" spans="1:7" x14ac:dyDescent="0.2">
      <c r="A233" t="s">
        <v>205</v>
      </c>
      <c r="B233" s="1" t="s">
        <v>31</v>
      </c>
      <c r="C233" s="1" t="s">
        <v>9</v>
      </c>
      <c r="D233" s="1" t="s">
        <v>21</v>
      </c>
      <c r="E233" s="40">
        <v>116.34</v>
      </c>
      <c r="F233" s="2">
        <v>45831</v>
      </c>
      <c r="G233" s="1" t="s">
        <v>15</v>
      </c>
    </row>
    <row r="234" spans="1:7" x14ac:dyDescent="0.2">
      <c r="A234" t="s">
        <v>220</v>
      </c>
      <c r="B234" s="1" t="s">
        <v>25</v>
      </c>
      <c r="C234" s="1" t="s">
        <v>9</v>
      </c>
      <c r="D234" s="1" t="s">
        <v>21</v>
      </c>
      <c r="E234" s="40">
        <v>85.35</v>
      </c>
      <c r="F234" s="2">
        <v>45831</v>
      </c>
      <c r="G234" s="1" t="s">
        <v>15</v>
      </c>
    </row>
    <row r="235" spans="1:7" x14ac:dyDescent="0.2">
      <c r="A235" t="s">
        <v>255</v>
      </c>
      <c r="B235" s="1" t="s">
        <v>31</v>
      </c>
      <c r="C235" s="1" t="s">
        <v>18</v>
      </c>
      <c r="D235" s="1" t="s">
        <v>21</v>
      </c>
      <c r="E235" s="40">
        <v>53.06</v>
      </c>
      <c r="F235" s="2">
        <v>45831</v>
      </c>
      <c r="G235" s="1" t="s">
        <v>15</v>
      </c>
    </row>
    <row r="236" spans="1:7" x14ac:dyDescent="0.2">
      <c r="A236" t="s">
        <v>270</v>
      </c>
      <c r="B236" s="1" t="s">
        <v>23</v>
      </c>
      <c r="C236" s="1" t="s">
        <v>26</v>
      </c>
      <c r="D236" s="1" t="s">
        <v>32</v>
      </c>
      <c r="E236" s="40">
        <v>92.62</v>
      </c>
      <c r="F236" s="2">
        <v>45831</v>
      </c>
      <c r="G236" s="1" t="s">
        <v>15</v>
      </c>
    </row>
    <row r="237" spans="1:7" x14ac:dyDescent="0.2">
      <c r="A237" t="s">
        <v>282</v>
      </c>
      <c r="B237" s="1" t="s">
        <v>59</v>
      </c>
      <c r="C237" s="1" t="s">
        <v>28</v>
      </c>
      <c r="D237" s="1" t="s">
        <v>45</v>
      </c>
      <c r="E237" s="40">
        <v>42.02</v>
      </c>
      <c r="F237" s="2">
        <v>45831</v>
      </c>
      <c r="G237" s="1" t="s">
        <v>11</v>
      </c>
    </row>
    <row r="238" spans="1:7" x14ac:dyDescent="0.2">
      <c r="A238" t="s">
        <v>51</v>
      </c>
      <c r="B238" s="1" t="s">
        <v>31</v>
      </c>
      <c r="C238" s="1" t="s">
        <v>28</v>
      </c>
      <c r="D238" s="1" t="s">
        <v>14</v>
      </c>
      <c r="E238" s="40">
        <v>66.39</v>
      </c>
      <c r="F238" s="2">
        <v>45832</v>
      </c>
      <c r="G238" s="1" t="s">
        <v>15</v>
      </c>
    </row>
    <row r="239" spans="1:7" x14ac:dyDescent="0.2">
      <c r="A239" t="s">
        <v>163</v>
      </c>
      <c r="B239" s="1" t="s">
        <v>34</v>
      </c>
      <c r="C239" s="1" t="s">
        <v>28</v>
      </c>
      <c r="D239" s="1" t="s">
        <v>32</v>
      </c>
      <c r="E239" s="40">
        <v>118.75</v>
      </c>
      <c r="F239" s="2">
        <v>45832</v>
      </c>
      <c r="G239" s="1" t="s">
        <v>15</v>
      </c>
    </row>
    <row r="240" spans="1:7" x14ac:dyDescent="0.2">
      <c r="A240" t="s">
        <v>208</v>
      </c>
      <c r="B240" s="1" t="s">
        <v>8</v>
      </c>
      <c r="C240" s="1" t="s">
        <v>28</v>
      </c>
      <c r="D240" s="1" t="s">
        <v>14</v>
      </c>
      <c r="E240" s="40">
        <v>95.64</v>
      </c>
      <c r="F240" s="2">
        <v>45832</v>
      </c>
      <c r="G240" s="1" t="s">
        <v>11</v>
      </c>
    </row>
    <row r="241" spans="1:7" x14ac:dyDescent="0.2">
      <c r="A241" t="s">
        <v>212</v>
      </c>
      <c r="B241" s="1" t="s">
        <v>8</v>
      </c>
      <c r="C241" s="1" t="s">
        <v>9</v>
      </c>
      <c r="D241" s="1" t="s">
        <v>10</v>
      </c>
      <c r="E241" s="40">
        <v>74.41</v>
      </c>
      <c r="F241" s="2">
        <v>45832</v>
      </c>
      <c r="G241" s="1" t="s">
        <v>11</v>
      </c>
    </row>
    <row r="242" spans="1:7" x14ac:dyDescent="0.2">
      <c r="A242" t="s">
        <v>230</v>
      </c>
      <c r="B242" s="1" t="s">
        <v>59</v>
      </c>
      <c r="C242" s="1" t="s">
        <v>28</v>
      </c>
      <c r="D242" s="1" t="s">
        <v>32</v>
      </c>
      <c r="E242" s="40">
        <v>107.08</v>
      </c>
      <c r="F242" s="2">
        <v>45832</v>
      </c>
      <c r="G242" s="1" t="s">
        <v>15</v>
      </c>
    </row>
    <row r="243" spans="1:7" x14ac:dyDescent="0.2">
      <c r="A243" t="s">
        <v>259</v>
      </c>
      <c r="B243" s="1" t="s">
        <v>8</v>
      </c>
      <c r="C243" s="1" t="s">
        <v>18</v>
      </c>
      <c r="D243" s="1" t="s">
        <v>45</v>
      </c>
      <c r="E243" s="40">
        <v>85.41</v>
      </c>
      <c r="F243" s="2">
        <v>45832</v>
      </c>
      <c r="G243" s="1" t="s">
        <v>11</v>
      </c>
    </row>
    <row r="244" spans="1:7" x14ac:dyDescent="0.2">
      <c r="A244" t="s">
        <v>263</v>
      </c>
      <c r="B244" s="1" t="s">
        <v>8</v>
      </c>
      <c r="C244" s="1" t="s">
        <v>28</v>
      </c>
      <c r="D244" s="1" t="s">
        <v>14</v>
      </c>
      <c r="E244" s="40">
        <v>95.85</v>
      </c>
      <c r="F244" s="2">
        <v>45832</v>
      </c>
      <c r="G244" s="1" t="s">
        <v>15</v>
      </c>
    </row>
    <row r="245" spans="1:7" x14ac:dyDescent="0.2">
      <c r="A245" t="s">
        <v>24</v>
      </c>
      <c r="B245" s="1" t="s">
        <v>25</v>
      </c>
      <c r="C245" s="1" t="s">
        <v>26</v>
      </c>
      <c r="D245" s="1" t="s">
        <v>10</v>
      </c>
      <c r="E245" s="40">
        <v>74.150000000000006</v>
      </c>
      <c r="F245" s="2">
        <v>45833</v>
      </c>
      <c r="G245" s="1" t="s">
        <v>15</v>
      </c>
    </row>
    <row r="246" spans="1:7" x14ac:dyDescent="0.2">
      <c r="A246" t="s">
        <v>54</v>
      </c>
      <c r="B246" s="1" t="s">
        <v>25</v>
      </c>
      <c r="C246" s="1" t="s">
        <v>26</v>
      </c>
      <c r="D246" s="1" t="s">
        <v>45</v>
      </c>
      <c r="E246" s="40">
        <v>89.39</v>
      </c>
      <c r="F246" s="2">
        <v>45833</v>
      </c>
      <c r="G246" s="1" t="s">
        <v>11</v>
      </c>
    </row>
    <row r="247" spans="1:7" x14ac:dyDescent="0.2">
      <c r="A247" t="s">
        <v>57</v>
      </c>
      <c r="B247" s="1" t="s">
        <v>8</v>
      </c>
      <c r="C247" s="1" t="s">
        <v>28</v>
      </c>
      <c r="D247" s="1" t="s">
        <v>14</v>
      </c>
      <c r="E247" s="40">
        <v>64.959999999999994</v>
      </c>
      <c r="F247" s="2">
        <v>45833</v>
      </c>
      <c r="G247" s="1" t="s">
        <v>11</v>
      </c>
    </row>
    <row r="248" spans="1:7" x14ac:dyDescent="0.2">
      <c r="A248" t="s">
        <v>92</v>
      </c>
      <c r="B248" s="1" t="s">
        <v>23</v>
      </c>
      <c r="C248" s="1" t="s">
        <v>18</v>
      </c>
      <c r="D248" s="1" t="s">
        <v>32</v>
      </c>
      <c r="E248" s="40">
        <v>100.31</v>
      </c>
      <c r="F248" s="2">
        <v>45833</v>
      </c>
      <c r="G248" s="1" t="s">
        <v>11</v>
      </c>
    </row>
    <row r="249" spans="1:7" x14ac:dyDescent="0.2">
      <c r="A249" t="s">
        <v>140</v>
      </c>
      <c r="B249" s="1" t="s">
        <v>25</v>
      </c>
      <c r="C249" s="1" t="s">
        <v>18</v>
      </c>
      <c r="D249" s="1" t="s">
        <v>14</v>
      </c>
      <c r="E249" s="40">
        <v>81.510000000000005</v>
      </c>
      <c r="F249" s="2">
        <v>45833</v>
      </c>
      <c r="G249" s="1" t="s">
        <v>11</v>
      </c>
    </row>
    <row r="250" spans="1:7" x14ac:dyDescent="0.2">
      <c r="A250" t="s">
        <v>231</v>
      </c>
      <c r="B250" s="1" t="s">
        <v>8</v>
      </c>
      <c r="C250" s="1" t="s">
        <v>18</v>
      </c>
      <c r="D250" s="1" t="s">
        <v>10</v>
      </c>
      <c r="E250" s="40">
        <v>106.35</v>
      </c>
      <c r="F250" s="2">
        <v>45833</v>
      </c>
      <c r="G250" s="1" t="s">
        <v>11</v>
      </c>
    </row>
    <row r="251" spans="1:7" x14ac:dyDescent="0.2">
      <c r="A251" t="s">
        <v>269</v>
      </c>
      <c r="B251" s="1" t="s">
        <v>34</v>
      </c>
      <c r="C251" s="1" t="s">
        <v>28</v>
      </c>
      <c r="D251" s="1" t="s">
        <v>45</v>
      </c>
      <c r="E251" s="40">
        <v>77.13</v>
      </c>
      <c r="F251" s="2">
        <v>45833</v>
      </c>
      <c r="G251" s="1" t="s">
        <v>11</v>
      </c>
    </row>
    <row r="252" spans="1:7" x14ac:dyDescent="0.2">
      <c r="A252" t="s">
        <v>280</v>
      </c>
      <c r="B252" s="1" t="s">
        <v>34</v>
      </c>
      <c r="C252" s="1" t="s">
        <v>26</v>
      </c>
      <c r="D252" s="1" t="s">
        <v>10</v>
      </c>
      <c r="E252" s="40">
        <v>133.05000000000001</v>
      </c>
      <c r="F252" s="2">
        <v>45833</v>
      </c>
      <c r="G252" s="1" t="s">
        <v>15</v>
      </c>
    </row>
    <row r="253" spans="1:7" x14ac:dyDescent="0.2">
      <c r="A253" t="s">
        <v>292</v>
      </c>
      <c r="B253" s="1" t="s">
        <v>59</v>
      </c>
      <c r="C253" s="1" t="s">
        <v>18</v>
      </c>
      <c r="D253" s="1" t="s">
        <v>10</v>
      </c>
      <c r="E253" s="40">
        <v>73.69</v>
      </c>
      <c r="F253" s="2">
        <v>45833</v>
      </c>
      <c r="G253" s="1" t="s">
        <v>15</v>
      </c>
    </row>
    <row r="254" spans="1:7" x14ac:dyDescent="0.2">
      <c r="A254" t="s">
        <v>303</v>
      </c>
      <c r="B254" s="1" t="s">
        <v>25</v>
      </c>
      <c r="C254" s="1" t="s">
        <v>28</v>
      </c>
      <c r="D254" s="1" t="s">
        <v>21</v>
      </c>
      <c r="E254" s="40">
        <v>91.55</v>
      </c>
      <c r="F254" s="2">
        <v>45833</v>
      </c>
      <c r="G254" s="1" t="s">
        <v>15</v>
      </c>
    </row>
    <row r="255" spans="1:7" x14ac:dyDescent="0.2">
      <c r="A255" t="s">
        <v>315</v>
      </c>
      <c r="B255" s="1" t="s">
        <v>34</v>
      </c>
      <c r="C255" s="1" t="s">
        <v>13</v>
      </c>
      <c r="D255" s="1" t="s">
        <v>32</v>
      </c>
      <c r="E255" s="40">
        <v>94.71</v>
      </c>
      <c r="F255" s="2">
        <v>45833</v>
      </c>
      <c r="G255" s="1" t="s">
        <v>15</v>
      </c>
    </row>
    <row r="256" spans="1:7" x14ac:dyDescent="0.2">
      <c r="A256" t="s">
        <v>326</v>
      </c>
      <c r="B256" s="1" t="s">
        <v>23</v>
      </c>
      <c r="C256" s="1" t="s">
        <v>28</v>
      </c>
      <c r="D256" s="1" t="s">
        <v>10</v>
      </c>
      <c r="E256" s="40">
        <v>100.32</v>
      </c>
      <c r="F256" s="2">
        <v>45833</v>
      </c>
      <c r="G256" s="1" t="s">
        <v>15</v>
      </c>
    </row>
    <row r="257" spans="1:7" x14ac:dyDescent="0.2">
      <c r="A257" t="s">
        <v>72</v>
      </c>
      <c r="B257" s="1" t="s">
        <v>37</v>
      </c>
      <c r="C257" s="1" t="s">
        <v>18</v>
      </c>
      <c r="D257" s="1" t="s">
        <v>21</v>
      </c>
      <c r="E257" s="40">
        <v>43.04</v>
      </c>
      <c r="F257" s="2">
        <v>45834</v>
      </c>
      <c r="G257" s="1" t="s">
        <v>11</v>
      </c>
    </row>
    <row r="258" spans="1:7" x14ac:dyDescent="0.2">
      <c r="A258" t="s">
        <v>87</v>
      </c>
      <c r="B258" s="1" t="s">
        <v>20</v>
      </c>
      <c r="C258" s="1" t="s">
        <v>9</v>
      </c>
      <c r="D258" s="1" t="s">
        <v>45</v>
      </c>
      <c r="E258" s="40">
        <v>104.39</v>
      </c>
      <c r="F258" s="2">
        <v>45834</v>
      </c>
      <c r="G258" s="1" t="s">
        <v>11</v>
      </c>
    </row>
    <row r="259" spans="1:7" x14ac:dyDescent="0.2">
      <c r="A259" t="s">
        <v>99</v>
      </c>
      <c r="B259" s="1" t="s">
        <v>17</v>
      </c>
      <c r="C259" s="1" t="s">
        <v>9</v>
      </c>
      <c r="D259" s="1" t="s">
        <v>21</v>
      </c>
      <c r="E259" s="40">
        <v>118.45</v>
      </c>
      <c r="F259" s="2">
        <v>45834</v>
      </c>
      <c r="G259" s="1" t="s">
        <v>11</v>
      </c>
    </row>
    <row r="260" spans="1:7" x14ac:dyDescent="0.2">
      <c r="A260" t="s">
        <v>113</v>
      </c>
      <c r="B260" s="1" t="s">
        <v>23</v>
      </c>
      <c r="C260" s="1" t="s">
        <v>26</v>
      </c>
      <c r="D260" s="1" t="s">
        <v>21</v>
      </c>
      <c r="E260" s="40">
        <v>67.459999999999994</v>
      </c>
      <c r="F260" s="2">
        <v>45834</v>
      </c>
      <c r="G260" s="1" t="s">
        <v>15</v>
      </c>
    </row>
    <row r="261" spans="1:7" x14ac:dyDescent="0.2">
      <c r="A261" t="s">
        <v>146</v>
      </c>
      <c r="B261" s="1" t="s">
        <v>8</v>
      </c>
      <c r="C261" s="1" t="s">
        <v>9</v>
      </c>
      <c r="D261" s="1" t="s">
        <v>45</v>
      </c>
      <c r="E261" s="40">
        <v>108.57</v>
      </c>
      <c r="F261" s="2">
        <v>45834</v>
      </c>
      <c r="G261" s="1" t="s">
        <v>11</v>
      </c>
    </row>
    <row r="262" spans="1:7" x14ac:dyDescent="0.2">
      <c r="A262" t="s">
        <v>178</v>
      </c>
      <c r="B262" s="1" t="s">
        <v>8</v>
      </c>
      <c r="C262" s="1" t="s">
        <v>26</v>
      </c>
      <c r="D262" s="1" t="s">
        <v>32</v>
      </c>
      <c r="E262" s="40">
        <v>86.26</v>
      </c>
      <c r="F262" s="2">
        <v>45834</v>
      </c>
      <c r="G262" s="1" t="s">
        <v>11</v>
      </c>
    </row>
    <row r="263" spans="1:7" x14ac:dyDescent="0.2">
      <c r="A263" t="s">
        <v>226</v>
      </c>
      <c r="B263" s="1" t="s">
        <v>8</v>
      </c>
      <c r="C263" s="1" t="s">
        <v>18</v>
      </c>
      <c r="D263" s="1" t="s">
        <v>32</v>
      </c>
      <c r="E263" s="40">
        <v>81.459999999999994</v>
      </c>
      <c r="F263" s="2">
        <v>45834</v>
      </c>
      <c r="G263" s="1" t="s">
        <v>15</v>
      </c>
    </row>
    <row r="264" spans="1:7" x14ac:dyDescent="0.2">
      <c r="A264" t="s">
        <v>248</v>
      </c>
      <c r="B264" s="1" t="s">
        <v>59</v>
      </c>
      <c r="C264" s="1" t="s">
        <v>13</v>
      </c>
      <c r="D264" s="1" t="s">
        <v>32</v>
      </c>
      <c r="E264" s="40">
        <v>137.87</v>
      </c>
      <c r="F264" s="2">
        <v>45834</v>
      </c>
      <c r="G264" s="1" t="s">
        <v>11</v>
      </c>
    </row>
    <row r="265" spans="1:7" x14ac:dyDescent="0.2">
      <c r="A265" t="s">
        <v>286</v>
      </c>
      <c r="B265" s="1" t="s">
        <v>31</v>
      </c>
      <c r="C265" s="1" t="s">
        <v>9</v>
      </c>
      <c r="D265" s="1" t="s">
        <v>10</v>
      </c>
      <c r="E265" s="40">
        <v>91.1</v>
      </c>
      <c r="F265" s="2">
        <v>45834</v>
      </c>
      <c r="G265" s="1" t="s">
        <v>15</v>
      </c>
    </row>
    <row r="266" spans="1:7" x14ac:dyDescent="0.2">
      <c r="A266" t="s">
        <v>316</v>
      </c>
      <c r="B266" s="1" t="s">
        <v>34</v>
      </c>
      <c r="C266" s="1" t="s">
        <v>26</v>
      </c>
      <c r="D266" s="1" t="s">
        <v>32</v>
      </c>
      <c r="E266" s="40">
        <v>87.02</v>
      </c>
      <c r="F266" s="2">
        <v>45834</v>
      </c>
      <c r="G266" s="1" t="s">
        <v>15</v>
      </c>
    </row>
    <row r="267" spans="1:7" x14ac:dyDescent="0.2">
      <c r="A267" t="s">
        <v>30</v>
      </c>
      <c r="B267" s="1" t="s">
        <v>31</v>
      </c>
      <c r="C267" s="1" t="s">
        <v>13</v>
      </c>
      <c r="D267" s="1" t="s">
        <v>32</v>
      </c>
      <c r="E267" s="40">
        <v>68.260000000000005</v>
      </c>
      <c r="F267" s="2">
        <v>45835</v>
      </c>
      <c r="G267" s="1" t="s">
        <v>15</v>
      </c>
    </row>
    <row r="268" spans="1:7" x14ac:dyDescent="0.2">
      <c r="A268" t="s">
        <v>123</v>
      </c>
      <c r="B268" s="1" t="s">
        <v>37</v>
      </c>
      <c r="C268" s="1" t="s">
        <v>13</v>
      </c>
      <c r="D268" s="1" t="s">
        <v>21</v>
      </c>
      <c r="E268" s="40">
        <v>43.41</v>
      </c>
      <c r="F268" s="2">
        <v>45835</v>
      </c>
      <c r="G268" s="1" t="s">
        <v>15</v>
      </c>
    </row>
    <row r="269" spans="1:7" x14ac:dyDescent="0.2">
      <c r="A269" t="s">
        <v>134</v>
      </c>
      <c r="B269" s="1" t="s">
        <v>31</v>
      </c>
      <c r="C269" s="1" t="s">
        <v>28</v>
      </c>
      <c r="D269" s="1" t="s">
        <v>10</v>
      </c>
      <c r="E269" s="40">
        <v>127.15</v>
      </c>
      <c r="F269" s="2">
        <v>45835</v>
      </c>
      <c r="G269" s="1" t="s">
        <v>15</v>
      </c>
    </row>
    <row r="270" spans="1:7" x14ac:dyDescent="0.2">
      <c r="A270" t="s">
        <v>308</v>
      </c>
      <c r="B270" s="1" t="s">
        <v>23</v>
      </c>
      <c r="C270" s="1" t="s">
        <v>28</v>
      </c>
      <c r="D270" s="1" t="s">
        <v>32</v>
      </c>
      <c r="E270" s="40">
        <v>82.84</v>
      </c>
      <c r="F270" s="2">
        <v>45835</v>
      </c>
      <c r="G270" s="1" t="s">
        <v>11</v>
      </c>
    </row>
    <row r="271" spans="1:7" x14ac:dyDescent="0.2">
      <c r="A271" t="s">
        <v>64</v>
      </c>
      <c r="B271" s="1" t="s">
        <v>17</v>
      </c>
      <c r="C271" s="1" t="s">
        <v>18</v>
      </c>
      <c r="D271" s="1" t="s">
        <v>14</v>
      </c>
      <c r="E271" s="40">
        <v>85.22</v>
      </c>
      <c r="F271" s="2">
        <v>45836</v>
      </c>
      <c r="G271" s="1" t="s">
        <v>15</v>
      </c>
    </row>
    <row r="272" spans="1:7" x14ac:dyDescent="0.2">
      <c r="A272" t="s">
        <v>100</v>
      </c>
      <c r="B272" s="1" t="s">
        <v>23</v>
      </c>
      <c r="C272" s="1" t="s">
        <v>18</v>
      </c>
      <c r="D272" s="1" t="s">
        <v>21</v>
      </c>
      <c r="E272" s="40">
        <v>79.099999999999994</v>
      </c>
      <c r="F272" s="2">
        <v>45836</v>
      </c>
      <c r="G272" s="1" t="s">
        <v>11</v>
      </c>
    </row>
    <row r="273" spans="1:7" x14ac:dyDescent="0.2">
      <c r="A273" t="s">
        <v>136</v>
      </c>
      <c r="B273" s="1" t="s">
        <v>17</v>
      </c>
      <c r="C273" s="1" t="s">
        <v>28</v>
      </c>
      <c r="D273" s="1" t="s">
        <v>10</v>
      </c>
      <c r="E273" s="40">
        <v>86.44</v>
      </c>
      <c r="F273" s="2">
        <v>45836</v>
      </c>
      <c r="G273" s="1" t="s">
        <v>15</v>
      </c>
    </row>
    <row r="274" spans="1:7" x14ac:dyDescent="0.2">
      <c r="A274" t="s">
        <v>148</v>
      </c>
      <c r="B274" s="1" t="s">
        <v>8</v>
      </c>
      <c r="C274" s="1" t="s">
        <v>9</v>
      </c>
      <c r="D274" s="1" t="s">
        <v>14</v>
      </c>
      <c r="E274" s="40">
        <v>99.78</v>
      </c>
      <c r="F274" s="2">
        <v>45836</v>
      </c>
      <c r="G274" s="1" t="s">
        <v>15</v>
      </c>
    </row>
    <row r="275" spans="1:7" x14ac:dyDescent="0.2">
      <c r="A275" t="s">
        <v>207</v>
      </c>
      <c r="B275" s="1" t="s">
        <v>20</v>
      </c>
      <c r="C275" s="1" t="s">
        <v>9</v>
      </c>
      <c r="D275" s="1" t="s">
        <v>14</v>
      </c>
      <c r="E275" s="40">
        <v>148</v>
      </c>
      <c r="F275" s="2">
        <v>45836</v>
      </c>
      <c r="G275" s="1" t="s">
        <v>15</v>
      </c>
    </row>
    <row r="276" spans="1:7" x14ac:dyDescent="0.2">
      <c r="A276" t="s">
        <v>210</v>
      </c>
      <c r="B276" s="1" t="s">
        <v>25</v>
      </c>
      <c r="C276" s="1" t="s">
        <v>28</v>
      </c>
      <c r="D276" s="1" t="s">
        <v>14</v>
      </c>
      <c r="E276" s="40">
        <v>53.23</v>
      </c>
      <c r="F276" s="2">
        <v>45836</v>
      </c>
      <c r="G276" s="1" t="s">
        <v>15</v>
      </c>
    </row>
    <row r="277" spans="1:7" x14ac:dyDescent="0.2">
      <c r="A277" t="s">
        <v>211</v>
      </c>
      <c r="B277" s="1" t="s">
        <v>20</v>
      </c>
      <c r="C277" s="1" t="s">
        <v>9</v>
      </c>
      <c r="D277" s="1" t="s">
        <v>21</v>
      </c>
      <c r="E277" s="40">
        <v>92.06</v>
      </c>
      <c r="F277" s="2">
        <v>45836</v>
      </c>
      <c r="G277" s="1" t="s">
        <v>11</v>
      </c>
    </row>
    <row r="278" spans="1:7" x14ac:dyDescent="0.2">
      <c r="A278" t="s">
        <v>265</v>
      </c>
      <c r="B278" s="1" t="s">
        <v>8</v>
      </c>
      <c r="C278" s="1" t="s">
        <v>9</v>
      </c>
      <c r="D278" s="1" t="s">
        <v>21</v>
      </c>
      <c r="E278" s="40">
        <v>84.66</v>
      </c>
      <c r="F278" s="2">
        <v>45836</v>
      </c>
      <c r="G278" s="1" t="s">
        <v>11</v>
      </c>
    </row>
    <row r="279" spans="1:7" x14ac:dyDescent="0.2">
      <c r="A279" t="s">
        <v>267</v>
      </c>
      <c r="B279" s="1" t="s">
        <v>59</v>
      </c>
      <c r="C279" s="1" t="s">
        <v>28</v>
      </c>
      <c r="D279" s="1" t="s">
        <v>10</v>
      </c>
      <c r="E279" s="40">
        <v>101.31</v>
      </c>
      <c r="F279" s="2">
        <v>45836</v>
      </c>
      <c r="G279" s="1" t="s">
        <v>11</v>
      </c>
    </row>
    <row r="280" spans="1:7" x14ac:dyDescent="0.2">
      <c r="A280" t="s">
        <v>271</v>
      </c>
      <c r="B280" s="1" t="s">
        <v>25</v>
      </c>
      <c r="C280" s="1" t="s">
        <v>18</v>
      </c>
      <c r="D280" s="1" t="s">
        <v>10</v>
      </c>
      <c r="E280" s="40">
        <v>101.64</v>
      </c>
      <c r="F280" s="2">
        <v>45836</v>
      </c>
      <c r="G280" s="1" t="s">
        <v>11</v>
      </c>
    </row>
    <row r="281" spans="1:7" x14ac:dyDescent="0.2">
      <c r="A281" t="s">
        <v>284</v>
      </c>
      <c r="B281" s="1" t="s">
        <v>31</v>
      </c>
      <c r="C281" s="1" t="s">
        <v>28</v>
      </c>
      <c r="D281" s="1" t="s">
        <v>14</v>
      </c>
      <c r="E281" s="40">
        <v>111.67</v>
      </c>
      <c r="F281" s="2">
        <v>45836</v>
      </c>
      <c r="G281" s="1" t="s">
        <v>15</v>
      </c>
    </row>
    <row r="282" spans="1:7" x14ac:dyDescent="0.2">
      <c r="A282" t="s">
        <v>288</v>
      </c>
      <c r="B282" s="1" t="s">
        <v>31</v>
      </c>
      <c r="C282" s="1" t="s">
        <v>18</v>
      </c>
      <c r="D282" s="1" t="s">
        <v>21</v>
      </c>
      <c r="E282" s="40">
        <v>56.83</v>
      </c>
      <c r="F282" s="2">
        <v>45836</v>
      </c>
      <c r="G282" s="1" t="s">
        <v>15</v>
      </c>
    </row>
    <row r="283" spans="1:7" x14ac:dyDescent="0.2">
      <c r="A283" t="s">
        <v>319</v>
      </c>
      <c r="B283" s="1" t="s">
        <v>59</v>
      </c>
      <c r="C283" s="1" t="s">
        <v>18</v>
      </c>
      <c r="D283" s="1" t="s">
        <v>21</v>
      </c>
      <c r="E283" s="40">
        <v>67.67</v>
      </c>
      <c r="F283" s="2">
        <v>45836</v>
      </c>
      <c r="G283" s="1" t="s">
        <v>15</v>
      </c>
    </row>
    <row r="284" spans="1:7" x14ac:dyDescent="0.2">
      <c r="A284" t="s">
        <v>56</v>
      </c>
      <c r="B284" s="1" t="s">
        <v>23</v>
      </c>
      <c r="C284" s="1" t="s">
        <v>18</v>
      </c>
      <c r="D284" s="1" t="s">
        <v>10</v>
      </c>
      <c r="E284" s="40">
        <v>72.709999999999994</v>
      </c>
      <c r="F284" s="2">
        <v>45837</v>
      </c>
      <c r="G284" s="1" t="s">
        <v>11</v>
      </c>
    </row>
    <row r="285" spans="1:7" x14ac:dyDescent="0.2">
      <c r="A285" t="s">
        <v>61</v>
      </c>
      <c r="B285" s="1" t="s">
        <v>23</v>
      </c>
      <c r="C285" s="1" t="s">
        <v>9</v>
      </c>
      <c r="D285" s="1" t="s">
        <v>21</v>
      </c>
      <c r="E285" s="40">
        <v>53.56</v>
      </c>
      <c r="F285" s="2">
        <v>45837</v>
      </c>
      <c r="G285" s="1" t="s">
        <v>15</v>
      </c>
    </row>
    <row r="286" spans="1:7" x14ac:dyDescent="0.2">
      <c r="A286" t="s">
        <v>94</v>
      </c>
      <c r="B286" s="1" t="s">
        <v>20</v>
      </c>
      <c r="C286" s="1" t="s">
        <v>18</v>
      </c>
      <c r="D286" s="1" t="s">
        <v>14</v>
      </c>
      <c r="E286" s="40">
        <v>78.2</v>
      </c>
      <c r="F286" s="2">
        <v>45837</v>
      </c>
      <c r="G286" s="1" t="s">
        <v>11</v>
      </c>
    </row>
    <row r="287" spans="1:7" x14ac:dyDescent="0.2">
      <c r="A287" t="s">
        <v>98</v>
      </c>
      <c r="B287" s="1" t="s">
        <v>59</v>
      </c>
      <c r="C287" s="1" t="s">
        <v>26</v>
      </c>
      <c r="D287" s="1" t="s">
        <v>10</v>
      </c>
      <c r="E287" s="40">
        <v>89.03</v>
      </c>
      <c r="F287" s="2">
        <v>45837</v>
      </c>
      <c r="G287" s="1" t="s">
        <v>15</v>
      </c>
    </row>
    <row r="288" spans="1:7" x14ac:dyDescent="0.2">
      <c r="A288" t="s">
        <v>104</v>
      </c>
      <c r="B288" s="1" t="s">
        <v>20</v>
      </c>
      <c r="C288" s="1" t="s">
        <v>18</v>
      </c>
      <c r="D288" s="1" t="s">
        <v>14</v>
      </c>
      <c r="E288" s="40">
        <v>82.18</v>
      </c>
      <c r="F288" s="2">
        <v>45837</v>
      </c>
      <c r="G288" s="1" t="s">
        <v>15</v>
      </c>
    </row>
    <row r="289" spans="1:7" x14ac:dyDescent="0.2">
      <c r="A289" t="s">
        <v>130</v>
      </c>
      <c r="B289" s="1" t="s">
        <v>34</v>
      </c>
      <c r="C289" s="1" t="s">
        <v>28</v>
      </c>
      <c r="D289" s="1" t="s">
        <v>21</v>
      </c>
      <c r="E289" s="40">
        <v>71.430000000000007</v>
      </c>
      <c r="F289" s="2">
        <v>45837</v>
      </c>
      <c r="G289" s="1" t="s">
        <v>11</v>
      </c>
    </row>
    <row r="290" spans="1:7" x14ac:dyDescent="0.2">
      <c r="A290" t="s">
        <v>132</v>
      </c>
      <c r="B290" s="1" t="s">
        <v>31</v>
      </c>
      <c r="C290" s="1" t="s">
        <v>13</v>
      </c>
      <c r="D290" s="1" t="s">
        <v>45</v>
      </c>
      <c r="E290" s="40">
        <v>75.97</v>
      </c>
      <c r="F290" s="2">
        <v>45837</v>
      </c>
      <c r="G290" s="1" t="s">
        <v>11</v>
      </c>
    </row>
    <row r="291" spans="1:7" x14ac:dyDescent="0.2">
      <c r="A291" t="s">
        <v>183</v>
      </c>
      <c r="B291" s="1" t="s">
        <v>37</v>
      </c>
      <c r="C291" s="1" t="s">
        <v>13</v>
      </c>
      <c r="D291" s="1" t="s">
        <v>14</v>
      </c>
      <c r="E291" s="40">
        <v>62.14</v>
      </c>
      <c r="F291" s="2">
        <v>45837</v>
      </c>
      <c r="G291" s="1" t="s">
        <v>15</v>
      </c>
    </row>
    <row r="292" spans="1:7" x14ac:dyDescent="0.2">
      <c r="A292" t="s">
        <v>218</v>
      </c>
      <c r="B292" s="1" t="s">
        <v>23</v>
      </c>
      <c r="C292" s="1" t="s">
        <v>9</v>
      </c>
      <c r="D292" s="1" t="s">
        <v>14</v>
      </c>
      <c r="E292" s="40">
        <v>68.84</v>
      </c>
      <c r="F292" s="2">
        <v>45837</v>
      </c>
      <c r="G292" s="1" t="s">
        <v>15</v>
      </c>
    </row>
    <row r="293" spans="1:7" x14ac:dyDescent="0.2">
      <c r="A293" t="s">
        <v>52</v>
      </c>
      <c r="B293" s="1" t="s">
        <v>20</v>
      </c>
      <c r="C293" s="1" t="s">
        <v>26</v>
      </c>
      <c r="D293" s="1" t="s">
        <v>45</v>
      </c>
      <c r="E293" s="40">
        <v>82.77</v>
      </c>
      <c r="F293" s="2">
        <v>45838</v>
      </c>
      <c r="G293" s="1" t="s">
        <v>11</v>
      </c>
    </row>
    <row r="294" spans="1:7" x14ac:dyDescent="0.2">
      <c r="A294" t="s">
        <v>55</v>
      </c>
      <c r="B294" s="1" t="s">
        <v>25</v>
      </c>
      <c r="C294" s="1" t="s">
        <v>18</v>
      </c>
      <c r="D294" s="1" t="s">
        <v>14</v>
      </c>
      <c r="E294" s="40">
        <v>64.98</v>
      </c>
      <c r="F294" s="2">
        <v>45838</v>
      </c>
      <c r="G294" s="1" t="s">
        <v>15</v>
      </c>
    </row>
    <row r="295" spans="1:7" x14ac:dyDescent="0.2">
      <c r="A295" t="s">
        <v>60</v>
      </c>
      <c r="B295" s="1" t="s">
        <v>20</v>
      </c>
      <c r="C295" s="1" t="s">
        <v>28</v>
      </c>
      <c r="D295" s="1" t="s">
        <v>10</v>
      </c>
      <c r="E295" s="40">
        <v>79.66</v>
      </c>
      <c r="F295" s="2">
        <v>45838</v>
      </c>
      <c r="G295" s="1" t="s">
        <v>11</v>
      </c>
    </row>
    <row r="296" spans="1:7" x14ac:dyDescent="0.2">
      <c r="A296" t="s">
        <v>135</v>
      </c>
      <c r="B296" s="1" t="s">
        <v>59</v>
      </c>
      <c r="C296" s="1" t="s">
        <v>13</v>
      </c>
      <c r="D296" s="1" t="s">
        <v>14</v>
      </c>
      <c r="E296" s="40">
        <v>84.36</v>
      </c>
      <c r="F296" s="2">
        <v>45838</v>
      </c>
      <c r="G296" s="1" t="s">
        <v>15</v>
      </c>
    </row>
    <row r="297" spans="1:7" x14ac:dyDescent="0.2">
      <c r="A297" t="s">
        <v>199</v>
      </c>
      <c r="B297" s="1" t="s">
        <v>20</v>
      </c>
      <c r="C297" s="1" t="s">
        <v>28</v>
      </c>
      <c r="D297" s="1" t="s">
        <v>10</v>
      </c>
      <c r="E297" s="40">
        <v>59.6</v>
      </c>
      <c r="F297" s="2">
        <v>45838</v>
      </c>
      <c r="G297" s="1" t="s">
        <v>11</v>
      </c>
    </row>
    <row r="298" spans="1:7" x14ac:dyDescent="0.2">
      <c r="A298" t="s">
        <v>200</v>
      </c>
      <c r="B298" s="1" t="s">
        <v>8</v>
      </c>
      <c r="C298" s="1" t="s">
        <v>28</v>
      </c>
      <c r="D298" s="1" t="s">
        <v>32</v>
      </c>
      <c r="E298" s="40">
        <v>78.069999999999993</v>
      </c>
      <c r="F298" s="2">
        <v>45838</v>
      </c>
      <c r="G298" s="1" t="s">
        <v>15</v>
      </c>
    </row>
    <row r="299" spans="1:7" x14ac:dyDescent="0.2">
      <c r="A299" t="s">
        <v>229</v>
      </c>
      <c r="B299" s="1" t="s">
        <v>20</v>
      </c>
      <c r="C299" s="1" t="s">
        <v>13</v>
      </c>
      <c r="D299" s="1" t="s">
        <v>45</v>
      </c>
      <c r="E299" s="40">
        <v>94.02</v>
      </c>
      <c r="F299" s="2">
        <v>45838</v>
      </c>
      <c r="G299" s="1" t="s">
        <v>15</v>
      </c>
    </row>
    <row r="300" spans="1:7" x14ac:dyDescent="0.2">
      <c r="A300" t="s">
        <v>306</v>
      </c>
      <c r="B300" s="1" t="s">
        <v>25</v>
      </c>
      <c r="C300" s="1" t="s">
        <v>13</v>
      </c>
      <c r="D300" s="1" t="s">
        <v>10</v>
      </c>
      <c r="E300" s="40">
        <v>81.75</v>
      </c>
      <c r="F300" s="2">
        <v>45838</v>
      </c>
      <c r="G300" s="1" t="s">
        <v>15</v>
      </c>
    </row>
    <row r="301" spans="1:7" x14ac:dyDescent="0.2">
      <c r="A301" t="s">
        <v>322</v>
      </c>
      <c r="B301" s="1" t="s">
        <v>8</v>
      </c>
      <c r="C301" s="1" t="s">
        <v>28</v>
      </c>
      <c r="D301" s="1" t="s">
        <v>32</v>
      </c>
      <c r="E301" s="40">
        <v>88.93</v>
      </c>
      <c r="F301" s="2">
        <v>45838</v>
      </c>
      <c r="G301" s="1" t="s">
        <v>11</v>
      </c>
    </row>
    <row r="304" spans="1:7" x14ac:dyDescent="0.2">
      <c r="E304" s="40"/>
    </row>
    <row r="305" spans="6:6" x14ac:dyDescent="0.2">
      <c r="F305" s="40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9A8D-D6C2-DF4B-AE1E-4CD143106470}">
  <dimension ref="A1:D501"/>
  <sheetViews>
    <sheetView workbookViewId="0">
      <selection activeCell="G18" sqref="G18"/>
    </sheetView>
  </sheetViews>
  <sheetFormatPr baseColWidth="10" defaultRowHeight="16" x14ac:dyDescent="0.2"/>
  <cols>
    <col min="1" max="1" width="18.6640625" bestFit="1" customWidth="1"/>
    <col min="2" max="2" width="15.33203125" bestFit="1" customWidth="1"/>
    <col min="3" max="3" width="9.5" bestFit="1" customWidth="1"/>
    <col min="4" max="4" width="12.6640625" customWidth="1"/>
  </cols>
  <sheetData>
    <row r="1" spans="1:4" x14ac:dyDescent="0.2">
      <c r="A1" s="1" t="s">
        <v>1</v>
      </c>
      <c r="B1" s="1" t="s">
        <v>328</v>
      </c>
      <c r="C1" s="1" t="s">
        <v>329</v>
      </c>
      <c r="D1" t="s">
        <v>330</v>
      </c>
    </row>
    <row r="2" spans="1:4" x14ac:dyDescent="0.2">
      <c r="A2" s="1" t="s">
        <v>37</v>
      </c>
      <c r="B2" s="1" t="s">
        <v>334</v>
      </c>
      <c r="C2" s="1" t="s">
        <v>344</v>
      </c>
      <c r="D2" s="2">
        <v>45809</v>
      </c>
    </row>
    <row r="3" spans="1:4" x14ac:dyDescent="0.2">
      <c r="A3" s="1" t="s">
        <v>37</v>
      </c>
      <c r="B3" s="1" t="s">
        <v>340</v>
      </c>
      <c r="C3" s="1" t="s">
        <v>403</v>
      </c>
      <c r="D3" s="2">
        <v>45809</v>
      </c>
    </row>
    <row r="4" spans="1:4" x14ac:dyDescent="0.2">
      <c r="A4" s="1" t="s">
        <v>59</v>
      </c>
      <c r="B4" s="1" t="s">
        <v>334</v>
      </c>
      <c r="C4" s="1" t="s">
        <v>435</v>
      </c>
      <c r="D4" s="2">
        <v>45809</v>
      </c>
    </row>
    <row r="5" spans="1:4" x14ac:dyDescent="0.2">
      <c r="A5" s="1" t="s">
        <v>34</v>
      </c>
      <c r="B5" s="1" t="s">
        <v>334</v>
      </c>
      <c r="C5" s="1" t="s">
        <v>443</v>
      </c>
      <c r="D5" s="2">
        <v>45809</v>
      </c>
    </row>
    <row r="6" spans="1:4" x14ac:dyDescent="0.2">
      <c r="A6" s="1" t="s">
        <v>59</v>
      </c>
      <c r="B6" s="1" t="s">
        <v>334</v>
      </c>
      <c r="C6" s="1" t="s">
        <v>463</v>
      </c>
      <c r="D6" s="2">
        <v>45809</v>
      </c>
    </row>
    <row r="7" spans="1:4" x14ac:dyDescent="0.2">
      <c r="A7" s="1" t="s">
        <v>25</v>
      </c>
      <c r="B7" s="1" t="s">
        <v>340</v>
      </c>
      <c r="C7" s="1" t="s">
        <v>498</v>
      </c>
      <c r="D7" s="2">
        <v>45809</v>
      </c>
    </row>
    <row r="8" spans="1:4" x14ac:dyDescent="0.2">
      <c r="A8" s="1" t="s">
        <v>8</v>
      </c>
      <c r="B8" s="1" t="s">
        <v>336</v>
      </c>
      <c r="C8" s="1" t="s">
        <v>520</v>
      </c>
      <c r="D8" s="2">
        <v>45809</v>
      </c>
    </row>
    <row r="9" spans="1:4" x14ac:dyDescent="0.2">
      <c r="A9" s="1" t="s">
        <v>17</v>
      </c>
      <c r="B9" s="1" t="s">
        <v>336</v>
      </c>
      <c r="C9" s="1" t="s">
        <v>547</v>
      </c>
      <c r="D9" s="2">
        <v>45809</v>
      </c>
    </row>
    <row r="10" spans="1:4" x14ac:dyDescent="0.2">
      <c r="A10" s="1" t="s">
        <v>59</v>
      </c>
      <c r="B10" s="1" t="s">
        <v>331</v>
      </c>
      <c r="C10" s="1" t="s">
        <v>550</v>
      </c>
      <c r="D10" s="2">
        <v>45809</v>
      </c>
    </row>
    <row r="11" spans="1:4" x14ac:dyDescent="0.2">
      <c r="A11" s="1" t="s">
        <v>8</v>
      </c>
      <c r="B11" s="1" t="s">
        <v>340</v>
      </c>
      <c r="C11" s="1" t="s">
        <v>570</v>
      </c>
      <c r="D11" s="2">
        <v>45809</v>
      </c>
    </row>
    <row r="12" spans="1:4" x14ac:dyDescent="0.2">
      <c r="A12" s="1" t="s">
        <v>37</v>
      </c>
      <c r="B12" s="1" t="s">
        <v>331</v>
      </c>
      <c r="C12" s="1" t="s">
        <v>609</v>
      </c>
      <c r="D12" s="2">
        <v>45809</v>
      </c>
    </row>
    <row r="13" spans="1:4" x14ac:dyDescent="0.2">
      <c r="A13" s="1" t="s">
        <v>23</v>
      </c>
      <c r="B13" s="1" t="s">
        <v>340</v>
      </c>
      <c r="C13" s="1" t="s">
        <v>624</v>
      </c>
      <c r="D13" s="2">
        <v>45809</v>
      </c>
    </row>
    <row r="14" spans="1:4" x14ac:dyDescent="0.2">
      <c r="A14" s="1" t="s">
        <v>20</v>
      </c>
      <c r="B14" s="1" t="s">
        <v>334</v>
      </c>
      <c r="C14" s="1" t="s">
        <v>633</v>
      </c>
      <c r="D14" s="2">
        <v>45809</v>
      </c>
    </row>
    <row r="15" spans="1:4" x14ac:dyDescent="0.2">
      <c r="A15" s="1" t="s">
        <v>59</v>
      </c>
      <c r="B15" s="1" t="s">
        <v>331</v>
      </c>
      <c r="C15" s="1" t="s">
        <v>657</v>
      </c>
      <c r="D15" s="2">
        <v>45809</v>
      </c>
    </row>
    <row r="16" spans="1:4" x14ac:dyDescent="0.2">
      <c r="A16" s="1" t="s">
        <v>34</v>
      </c>
      <c r="B16" s="1" t="s">
        <v>336</v>
      </c>
      <c r="C16" s="1" t="s">
        <v>670</v>
      </c>
      <c r="D16" s="2">
        <v>45809</v>
      </c>
    </row>
    <row r="17" spans="1:4" x14ac:dyDescent="0.2">
      <c r="A17" s="1" t="s">
        <v>37</v>
      </c>
      <c r="B17" s="1" t="s">
        <v>331</v>
      </c>
      <c r="C17" s="1" t="s">
        <v>684</v>
      </c>
      <c r="D17" s="2">
        <v>45809</v>
      </c>
    </row>
    <row r="18" spans="1:4" x14ac:dyDescent="0.2">
      <c r="A18" s="1" t="s">
        <v>31</v>
      </c>
      <c r="B18" s="1" t="s">
        <v>336</v>
      </c>
      <c r="C18" s="1" t="s">
        <v>706</v>
      </c>
      <c r="D18" s="2">
        <v>45809</v>
      </c>
    </row>
    <row r="19" spans="1:4" x14ac:dyDescent="0.2">
      <c r="A19" s="1" t="s">
        <v>34</v>
      </c>
      <c r="B19" s="1" t="s">
        <v>340</v>
      </c>
      <c r="C19" s="1" t="s">
        <v>538</v>
      </c>
      <c r="D19" s="2">
        <v>45810</v>
      </c>
    </row>
    <row r="20" spans="1:4" x14ac:dyDescent="0.2">
      <c r="A20" s="1" t="s">
        <v>59</v>
      </c>
      <c r="B20" s="1" t="s">
        <v>334</v>
      </c>
      <c r="C20" s="1" t="s">
        <v>575</v>
      </c>
      <c r="D20" s="2">
        <v>45810</v>
      </c>
    </row>
    <row r="21" spans="1:4" x14ac:dyDescent="0.2">
      <c r="A21" s="1" t="s">
        <v>20</v>
      </c>
      <c r="B21" s="1" t="s">
        <v>334</v>
      </c>
      <c r="C21" s="1" t="s">
        <v>579</v>
      </c>
      <c r="D21" s="2">
        <v>45810</v>
      </c>
    </row>
    <row r="22" spans="1:4" x14ac:dyDescent="0.2">
      <c r="A22" s="1" t="s">
        <v>34</v>
      </c>
      <c r="B22" s="1" t="s">
        <v>340</v>
      </c>
      <c r="C22" s="1" t="s">
        <v>618</v>
      </c>
      <c r="D22" s="2">
        <v>45810</v>
      </c>
    </row>
    <row r="23" spans="1:4" x14ac:dyDescent="0.2">
      <c r="A23" s="1" t="s">
        <v>34</v>
      </c>
      <c r="B23" s="1" t="s">
        <v>331</v>
      </c>
      <c r="C23" s="1" t="s">
        <v>709</v>
      </c>
      <c r="D23" s="2">
        <v>45810</v>
      </c>
    </row>
    <row r="24" spans="1:4" x14ac:dyDescent="0.2">
      <c r="A24" s="1" t="s">
        <v>23</v>
      </c>
      <c r="B24" s="1" t="s">
        <v>331</v>
      </c>
      <c r="C24" s="1" t="s">
        <v>720</v>
      </c>
      <c r="D24" s="2">
        <v>45810</v>
      </c>
    </row>
    <row r="25" spans="1:4" x14ac:dyDescent="0.2">
      <c r="A25" s="1" t="s">
        <v>23</v>
      </c>
      <c r="B25" s="1" t="s">
        <v>336</v>
      </c>
      <c r="C25" s="1" t="s">
        <v>745</v>
      </c>
      <c r="D25" s="2">
        <v>45810</v>
      </c>
    </row>
    <row r="26" spans="1:4" x14ac:dyDescent="0.2">
      <c r="A26" s="1" t="s">
        <v>20</v>
      </c>
      <c r="B26" s="1" t="s">
        <v>340</v>
      </c>
      <c r="C26" s="1" t="s">
        <v>755</v>
      </c>
      <c r="D26" s="2">
        <v>45810</v>
      </c>
    </row>
    <row r="27" spans="1:4" x14ac:dyDescent="0.2">
      <c r="A27" s="1" t="s">
        <v>25</v>
      </c>
      <c r="B27" s="1" t="s">
        <v>334</v>
      </c>
      <c r="C27" s="1" t="s">
        <v>771</v>
      </c>
      <c r="D27" s="2">
        <v>45810</v>
      </c>
    </row>
    <row r="28" spans="1:4" x14ac:dyDescent="0.2">
      <c r="A28" s="1" t="s">
        <v>23</v>
      </c>
      <c r="B28" s="1" t="s">
        <v>336</v>
      </c>
      <c r="C28" s="1" t="s">
        <v>337</v>
      </c>
      <c r="D28" s="2">
        <v>45811</v>
      </c>
    </row>
    <row r="29" spans="1:4" x14ac:dyDescent="0.2">
      <c r="A29" s="1" t="s">
        <v>23</v>
      </c>
      <c r="B29" s="1" t="s">
        <v>336</v>
      </c>
      <c r="C29" s="1" t="s">
        <v>437</v>
      </c>
      <c r="D29" s="2">
        <v>45811</v>
      </c>
    </row>
    <row r="30" spans="1:4" x14ac:dyDescent="0.2">
      <c r="A30" s="1" t="s">
        <v>31</v>
      </c>
      <c r="B30" s="1" t="s">
        <v>336</v>
      </c>
      <c r="C30" s="1" t="s">
        <v>448</v>
      </c>
      <c r="D30" s="2">
        <v>45811</v>
      </c>
    </row>
    <row r="31" spans="1:4" x14ac:dyDescent="0.2">
      <c r="A31" s="1" t="s">
        <v>31</v>
      </c>
      <c r="B31" s="1" t="s">
        <v>334</v>
      </c>
      <c r="C31" s="1" t="s">
        <v>451</v>
      </c>
      <c r="D31" s="2">
        <v>45811</v>
      </c>
    </row>
    <row r="32" spans="1:4" x14ac:dyDescent="0.2">
      <c r="A32" s="1" t="s">
        <v>31</v>
      </c>
      <c r="B32" s="1" t="s">
        <v>331</v>
      </c>
      <c r="C32" s="1" t="s">
        <v>478</v>
      </c>
      <c r="D32" s="2">
        <v>45811</v>
      </c>
    </row>
    <row r="33" spans="1:4" x14ac:dyDescent="0.2">
      <c r="A33" s="1" t="s">
        <v>20</v>
      </c>
      <c r="B33" s="1" t="s">
        <v>340</v>
      </c>
      <c r="C33" s="1" t="s">
        <v>490</v>
      </c>
      <c r="D33" s="2">
        <v>45811</v>
      </c>
    </row>
    <row r="34" spans="1:4" x14ac:dyDescent="0.2">
      <c r="A34" s="1" t="s">
        <v>17</v>
      </c>
      <c r="B34" s="1" t="s">
        <v>336</v>
      </c>
      <c r="C34" s="1" t="s">
        <v>501</v>
      </c>
      <c r="D34" s="2">
        <v>45811</v>
      </c>
    </row>
    <row r="35" spans="1:4" x14ac:dyDescent="0.2">
      <c r="A35" s="1" t="s">
        <v>8</v>
      </c>
      <c r="B35" s="1" t="s">
        <v>336</v>
      </c>
      <c r="C35" s="1" t="s">
        <v>504</v>
      </c>
      <c r="D35" s="2">
        <v>45811</v>
      </c>
    </row>
    <row r="36" spans="1:4" x14ac:dyDescent="0.2">
      <c r="A36" s="1" t="s">
        <v>23</v>
      </c>
      <c r="B36" s="1" t="s">
        <v>340</v>
      </c>
      <c r="C36" s="1" t="s">
        <v>522</v>
      </c>
      <c r="D36" s="2">
        <v>45811</v>
      </c>
    </row>
    <row r="37" spans="1:4" x14ac:dyDescent="0.2">
      <c r="A37" s="1" t="s">
        <v>34</v>
      </c>
      <c r="B37" s="1" t="s">
        <v>334</v>
      </c>
      <c r="C37" s="1" t="s">
        <v>523</v>
      </c>
      <c r="D37" s="2">
        <v>45811</v>
      </c>
    </row>
    <row r="38" spans="1:4" x14ac:dyDescent="0.2">
      <c r="A38" s="1" t="s">
        <v>20</v>
      </c>
      <c r="B38" s="1" t="s">
        <v>334</v>
      </c>
      <c r="C38" s="1" t="s">
        <v>531</v>
      </c>
      <c r="D38" s="2">
        <v>45811</v>
      </c>
    </row>
    <row r="39" spans="1:4" x14ac:dyDescent="0.2">
      <c r="A39" s="1" t="s">
        <v>59</v>
      </c>
      <c r="B39" s="1" t="s">
        <v>334</v>
      </c>
      <c r="C39" s="1" t="s">
        <v>546</v>
      </c>
      <c r="D39" s="2">
        <v>45811</v>
      </c>
    </row>
    <row r="40" spans="1:4" x14ac:dyDescent="0.2">
      <c r="A40" s="1" t="s">
        <v>25</v>
      </c>
      <c r="B40" s="1" t="s">
        <v>331</v>
      </c>
      <c r="C40" s="1" t="s">
        <v>571</v>
      </c>
      <c r="D40" s="2">
        <v>45811</v>
      </c>
    </row>
    <row r="41" spans="1:4" x14ac:dyDescent="0.2">
      <c r="A41" s="1" t="s">
        <v>25</v>
      </c>
      <c r="B41" s="1" t="s">
        <v>340</v>
      </c>
      <c r="C41" s="1" t="s">
        <v>580</v>
      </c>
      <c r="D41" s="2">
        <v>45811</v>
      </c>
    </row>
    <row r="42" spans="1:4" x14ac:dyDescent="0.2">
      <c r="A42" s="1" t="s">
        <v>17</v>
      </c>
      <c r="B42" s="1" t="s">
        <v>336</v>
      </c>
      <c r="C42" s="1" t="s">
        <v>590</v>
      </c>
      <c r="D42" s="2">
        <v>45811</v>
      </c>
    </row>
    <row r="43" spans="1:4" x14ac:dyDescent="0.2">
      <c r="A43" s="1" t="s">
        <v>31</v>
      </c>
      <c r="B43" s="1" t="s">
        <v>331</v>
      </c>
      <c r="C43" s="1" t="s">
        <v>667</v>
      </c>
      <c r="D43" s="2">
        <v>45811</v>
      </c>
    </row>
    <row r="44" spans="1:4" x14ac:dyDescent="0.2">
      <c r="A44" s="1" t="s">
        <v>31</v>
      </c>
      <c r="B44" s="1" t="s">
        <v>334</v>
      </c>
      <c r="C44" s="1" t="s">
        <v>484</v>
      </c>
      <c r="D44" s="2">
        <v>45811</v>
      </c>
    </row>
    <row r="45" spans="1:4" x14ac:dyDescent="0.2">
      <c r="A45" s="1" t="s">
        <v>25</v>
      </c>
      <c r="B45" s="1" t="s">
        <v>340</v>
      </c>
      <c r="C45" s="1" t="s">
        <v>778</v>
      </c>
      <c r="D45" s="2">
        <v>45811</v>
      </c>
    </row>
    <row r="46" spans="1:4" x14ac:dyDescent="0.2">
      <c r="A46" s="1" t="s">
        <v>37</v>
      </c>
      <c r="B46" s="1" t="s">
        <v>331</v>
      </c>
      <c r="C46" s="1" t="s">
        <v>342</v>
      </c>
      <c r="D46" s="2">
        <v>45812</v>
      </c>
    </row>
    <row r="47" spans="1:4" x14ac:dyDescent="0.2">
      <c r="A47" s="1" t="s">
        <v>37</v>
      </c>
      <c r="B47" s="1" t="s">
        <v>336</v>
      </c>
      <c r="C47" s="1" t="s">
        <v>354</v>
      </c>
      <c r="D47" s="2">
        <v>45812</v>
      </c>
    </row>
    <row r="48" spans="1:4" x14ac:dyDescent="0.2">
      <c r="A48" s="1" t="s">
        <v>23</v>
      </c>
      <c r="B48" s="1" t="s">
        <v>334</v>
      </c>
      <c r="C48" s="1" t="s">
        <v>361</v>
      </c>
      <c r="D48" s="2">
        <v>45812</v>
      </c>
    </row>
    <row r="49" spans="1:4" x14ac:dyDescent="0.2">
      <c r="A49" s="1" t="s">
        <v>31</v>
      </c>
      <c r="B49" s="1" t="s">
        <v>340</v>
      </c>
      <c r="C49" s="1" t="s">
        <v>373</v>
      </c>
      <c r="D49" s="2">
        <v>45812</v>
      </c>
    </row>
    <row r="50" spans="1:4" x14ac:dyDescent="0.2">
      <c r="A50" s="1" t="s">
        <v>25</v>
      </c>
      <c r="B50" s="1" t="s">
        <v>340</v>
      </c>
      <c r="C50" s="1" t="s">
        <v>377</v>
      </c>
      <c r="D50" s="2">
        <v>45812</v>
      </c>
    </row>
    <row r="51" spans="1:4" x14ac:dyDescent="0.2">
      <c r="A51" s="1" t="s">
        <v>23</v>
      </c>
      <c r="B51" s="1" t="s">
        <v>334</v>
      </c>
      <c r="C51" s="1" t="s">
        <v>378</v>
      </c>
      <c r="D51" s="2">
        <v>45812</v>
      </c>
    </row>
    <row r="52" spans="1:4" x14ac:dyDescent="0.2">
      <c r="A52" s="1" t="s">
        <v>8</v>
      </c>
      <c r="B52" s="1" t="s">
        <v>336</v>
      </c>
      <c r="C52" s="1" t="s">
        <v>396</v>
      </c>
      <c r="D52" s="2">
        <v>45812</v>
      </c>
    </row>
    <row r="53" spans="1:4" x14ac:dyDescent="0.2">
      <c r="A53" s="1" t="s">
        <v>37</v>
      </c>
      <c r="B53" s="1" t="s">
        <v>334</v>
      </c>
      <c r="C53" s="1" t="s">
        <v>398</v>
      </c>
      <c r="D53" s="2">
        <v>45812</v>
      </c>
    </row>
    <row r="54" spans="1:4" x14ac:dyDescent="0.2">
      <c r="A54" s="1" t="s">
        <v>31</v>
      </c>
      <c r="B54" s="1" t="s">
        <v>340</v>
      </c>
      <c r="C54" s="1" t="s">
        <v>446</v>
      </c>
      <c r="D54" s="2">
        <v>45812</v>
      </c>
    </row>
    <row r="55" spans="1:4" x14ac:dyDescent="0.2">
      <c r="A55" s="1" t="s">
        <v>17</v>
      </c>
      <c r="B55" s="1" t="s">
        <v>331</v>
      </c>
      <c r="C55" s="1" t="s">
        <v>473</v>
      </c>
      <c r="D55" s="2">
        <v>45812</v>
      </c>
    </row>
    <row r="56" spans="1:4" x14ac:dyDescent="0.2">
      <c r="A56" s="1" t="s">
        <v>59</v>
      </c>
      <c r="B56" s="1" t="s">
        <v>340</v>
      </c>
      <c r="C56" s="1" t="s">
        <v>509</v>
      </c>
      <c r="D56" s="2">
        <v>45812</v>
      </c>
    </row>
    <row r="57" spans="1:4" x14ac:dyDescent="0.2">
      <c r="A57" s="1" t="s">
        <v>23</v>
      </c>
      <c r="B57" s="1" t="s">
        <v>334</v>
      </c>
      <c r="C57" s="1" t="s">
        <v>581</v>
      </c>
      <c r="D57" s="2">
        <v>45812</v>
      </c>
    </row>
    <row r="58" spans="1:4" x14ac:dyDescent="0.2">
      <c r="A58" s="1" t="s">
        <v>25</v>
      </c>
      <c r="B58" s="1" t="s">
        <v>331</v>
      </c>
      <c r="C58" s="1" t="s">
        <v>666</v>
      </c>
      <c r="D58" s="2">
        <v>45812</v>
      </c>
    </row>
    <row r="59" spans="1:4" x14ac:dyDescent="0.2">
      <c r="A59" s="1" t="s">
        <v>23</v>
      </c>
      <c r="B59" s="1" t="s">
        <v>334</v>
      </c>
      <c r="C59" s="1" t="s">
        <v>689</v>
      </c>
      <c r="D59" s="2">
        <v>45812</v>
      </c>
    </row>
    <row r="60" spans="1:4" x14ac:dyDescent="0.2">
      <c r="A60" s="1" t="s">
        <v>25</v>
      </c>
      <c r="B60" s="1" t="s">
        <v>334</v>
      </c>
      <c r="C60" s="1" t="s">
        <v>691</v>
      </c>
      <c r="D60" s="2">
        <v>45812</v>
      </c>
    </row>
    <row r="61" spans="1:4" x14ac:dyDescent="0.2">
      <c r="A61" s="1" t="s">
        <v>59</v>
      </c>
      <c r="B61" s="1" t="s">
        <v>334</v>
      </c>
      <c r="C61" s="1" t="s">
        <v>702</v>
      </c>
      <c r="D61" s="2">
        <v>45812</v>
      </c>
    </row>
    <row r="62" spans="1:4" x14ac:dyDescent="0.2">
      <c r="A62" s="1" t="s">
        <v>25</v>
      </c>
      <c r="B62" s="1" t="s">
        <v>334</v>
      </c>
      <c r="C62" s="1" t="s">
        <v>718</v>
      </c>
      <c r="D62" s="2">
        <v>45812</v>
      </c>
    </row>
    <row r="63" spans="1:4" x14ac:dyDescent="0.2">
      <c r="A63" s="1" t="s">
        <v>20</v>
      </c>
      <c r="B63" s="1" t="s">
        <v>334</v>
      </c>
      <c r="C63" s="1" t="s">
        <v>766</v>
      </c>
      <c r="D63" s="2">
        <v>45812</v>
      </c>
    </row>
    <row r="64" spans="1:4" x14ac:dyDescent="0.2">
      <c r="A64" s="1" t="s">
        <v>25</v>
      </c>
      <c r="B64" s="1" t="s">
        <v>340</v>
      </c>
      <c r="C64" s="1" t="s">
        <v>790</v>
      </c>
      <c r="D64" s="2">
        <v>45812</v>
      </c>
    </row>
    <row r="65" spans="1:4" x14ac:dyDescent="0.2">
      <c r="A65" s="1" t="s">
        <v>34</v>
      </c>
      <c r="B65" s="1" t="s">
        <v>331</v>
      </c>
      <c r="C65" s="1" t="s">
        <v>795</v>
      </c>
      <c r="D65" s="2">
        <v>45812</v>
      </c>
    </row>
    <row r="66" spans="1:4" x14ac:dyDescent="0.2">
      <c r="A66" s="1" t="s">
        <v>23</v>
      </c>
      <c r="B66" s="1" t="s">
        <v>331</v>
      </c>
      <c r="C66" s="1" t="s">
        <v>350</v>
      </c>
      <c r="D66" s="2">
        <v>45813</v>
      </c>
    </row>
    <row r="67" spans="1:4" x14ac:dyDescent="0.2">
      <c r="A67" s="1" t="s">
        <v>31</v>
      </c>
      <c r="B67" s="1" t="s">
        <v>334</v>
      </c>
      <c r="C67" s="1" t="s">
        <v>376</v>
      </c>
      <c r="D67" s="2">
        <v>45813</v>
      </c>
    </row>
    <row r="68" spans="1:4" x14ac:dyDescent="0.2">
      <c r="A68" s="1" t="s">
        <v>59</v>
      </c>
      <c r="B68" s="1" t="s">
        <v>336</v>
      </c>
      <c r="C68" s="1" t="s">
        <v>422</v>
      </c>
      <c r="D68" s="2">
        <v>45813</v>
      </c>
    </row>
    <row r="69" spans="1:4" x14ac:dyDescent="0.2">
      <c r="A69" s="1" t="s">
        <v>25</v>
      </c>
      <c r="B69" s="1" t="s">
        <v>331</v>
      </c>
      <c r="C69" s="1" t="s">
        <v>447</v>
      </c>
      <c r="D69" s="2">
        <v>45813</v>
      </c>
    </row>
    <row r="70" spans="1:4" x14ac:dyDescent="0.2">
      <c r="A70" s="1" t="s">
        <v>23</v>
      </c>
      <c r="B70" s="1" t="s">
        <v>336</v>
      </c>
      <c r="C70" s="1" t="s">
        <v>476</v>
      </c>
      <c r="D70" s="2">
        <v>45813</v>
      </c>
    </row>
    <row r="71" spans="1:4" x14ac:dyDescent="0.2">
      <c r="A71" s="1" t="s">
        <v>31</v>
      </c>
      <c r="B71" s="1" t="s">
        <v>340</v>
      </c>
      <c r="C71" s="1" t="s">
        <v>601</v>
      </c>
      <c r="D71" s="2">
        <v>45813</v>
      </c>
    </row>
    <row r="72" spans="1:4" x14ac:dyDescent="0.2">
      <c r="A72" s="1" t="s">
        <v>37</v>
      </c>
      <c r="B72" s="1" t="s">
        <v>340</v>
      </c>
      <c r="C72" s="1" t="s">
        <v>611</v>
      </c>
      <c r="D72" s="2">
        <v>45813</v>
      </c>
    </row>
    <row r="73" spans="1:4" x14ac:dyDescent="0.2">
      <c r="A73" s="1" t="s">
        <v>31</v>
      </c>
      <c r="B73" s="1" t="s">
        <v>340</v>
      </c>
      <c r="C73" s="1" t="s">
        <v>653</v>
      </c>
      <c r="D73" s="2">
        <v>45813</v>
      </c>
    </row>
    <row r="74" spans="1:4" x14ac:dyDescent="0.2">
      <c r="A74" s="1" t="s">
        <v>37</v>
      </c>
      <c r="B74" s="1" t="s">
        <v>334</v>
      </c>
      <c r="C74" s="1" t="s">
        <v>727</v>
      </c>
      <c r="D74" s="2">
        <v>45813</v>
      </c>
    </row>
    <row r="75" spans="1:4" x14ac:dyDescent="0.2">
      <c r="A75" s="1" t="s">
        <v>23</v>
      </c>
      <c r="B75" s="1" t="s">
        <v>334</v>
      </c>
      <c r="C75" s="1" t="s">
        <v>734</v>
      </c>
      <c r="D75" s="2">
        <v>45813</v>
      </c>
    </row>
    <row r="76" spans="1:4" x14ac:dyDescent="0.2">
      <c r="A76" s="1" t="s">
        <v>31</v>
      </c>
      <c r="B76" s="1" t="s">
        <v>331</v>
      </c>
      <c r="C76" s="1" t="s">
        <v>756</v>
      </c>
      <c r="D76" s="2">
        <v>45813</v>
      </c>
    </row>
    <row r="77" spans="1:4" x14ac:dyDescent="0.2">
      <c r="A77" s="1" t="s">
        <v>37</v>
      </c>
      <c r="B77" s="1" t="s">
        <v>336</v>
      </c>
      <c r="C77" s="1" t="s">
        <v>758</v>
      </c>
      <c r="D77" s="2">
        <v>45813</v>
      </c>
    </row>
    <row r="78" spans="1:4" x14ac:dyDescent="0.2">
      <c r="A78" s="1" t="s">
        <v>37</v>
      </c>
      <c r="B78" s="1" t="s">
        <v>331</v>
      </c>
      <c r="C78" s="1" t="s">
        <v>799</v>
      </c>
      <c r="D78" s="2">
        <v>45813</v>
      </c>
    </row>
    <row r="79" spans="1:4" x14ac:dyDescent="0.2">
      <c r="A79" s="1" t="s">
        <v>31</v>
      </c>
      <c r="B79" s="1" t="s">
        <v>336</v>
      </c>
      <c r="C79" s="1" t="s">
        <v>813</v>
      </c>
      <c r="D79" s="2">
        <v>45813</v>
      </c>
    </row>
    <row r="80" spans="1:4" x14ac:dyDescent="0.2">
      <c r="A80" s="1" t="s">
        <v>20</v>
      </c>
      <c r="B80" s="1" t="s">
        <v>336</v>
      </c>
      <c r="C80" s="1" t="s">
        <v>348</v>
      </c>
      <c r="D80" s="2">
        <v>45814</v>
      </c>
    </row>
    <row r="81" spans="1:4" x14ac:dyDescent="0.2">
      <c r="A81" s="1" t="s">
        <v>8</v>
      </c>
      <c r="B81" s="1" t="s">
        <v>340</v>
      </c>
      <c r="C81" s="1" t="s">
        <v>390</v>
      </c>
      <c r="D81" s="2">
        <v>45814</v>
      </c>
    </row>
    <row r="82" spans="1:4" x14ac:dyDescent="0.2">
      <c r="A82" s="1" t="s">
        <v>34</v>
      </c>
      <c r="B82" s="1" t="s">
        <v>331</v>
      </c>
      <c r="C82" s="1" t="s">
        <v>397</v>
      </c>
      <c r="D82" s="2">
        <v>45814</v>
      </c>
    </row>
    <row r="83" spans="1:4" x14ac:dyDescent="0.2">
      <c r="A83" s="1" t="s">
        <v>17</v>
      </c>
      <c r="B83" s="1" t="s">
        <v>336</v>
      </c>
      <c r="C83" s="1" t="s">
        <v>474</v>
      </c>
      <c r="D83" s="2">
        <v>45814</v>
      </c>
    </row>
    <row r="84" spans="1:4" x14ac:dyDescent="0.2">
      <c r="A84" s="1" t="s">
        <v>25</v>
      </c>
      <c r="B84" s="1" t="s">
        <v>334</v>
      </c>
      <c r="C84" s="1" t="s">
        <v>485</v>
      </c>
      <c r="D84" s="2">
        <v>45814</v>
      </c>
    </row>
    <row r="85" spans="1:4" x14ac:dyDescent="0.2">
      <c r="A85" s="1" t="s">
        <v>23</v>
      </c>
      <c r="B85" s="1" t="s">
        <v>340</v>
      </c>
      <c r="C85" s="1" t="s">
        <v>513</v>
      </c>
      <c r="D85" s="2">
        <v>45814</v>
      </c>
    </row>
    <row r="86" spans="1:4" x14ac:dyDescent="0.2">
      <c r="A86" s="1" t="s">
        <v>37</v>
      </c>
      <c r="B86" s="1" t="s">
        <v>331</v>
      </c>
      <c r="C86" s="1" t="s">
        <v>539</v>
      </c>
      <c r="D86" s="2">
        <v>45814</v>
      </c>
    </row>
    <row r="87" spans="1:4" x14ac:dyDescent="0.2">
      <c r="A87" s="1" t="s">
        <v>31</v>
      </c>
      <c r="B87" s="1" t="s">
        <v>331</v>
      </c>
      <c r="C87" s="1" t="s">
        <v>542</v>
      </c>
      <c r="D87" s="2">
        <v>45814</v>
      </c>
    </row>
    <row r="88" spans="1:4" x14ac:dyDescent="0.2">
      <c r="A88" s="1" t="s">
        <v>31</v>
      </c>
      <c r="B88" s="1" t="s">
        <v>334</v>
      </c>
      <c r="C88" s="1" t="s">
        <v>555</v>
      </c>
      <c r="D88" s="2">
        <v>45814</v>
      </c>
    </row>
    <row r="89" spans="1:4" x14ac:dyDescent="0.2">
      <c r="A89" s="1" t="s">
        <v>17</v>
      </c>
      <c r="B89" s="1" t="s">
        <v>334</v>
      </c>
      <c r="C89" s="1" t="s">
        <v>559</v>
      </c>
      <c r="D89" s="2">
        <v>45814</v>
      </c>
    </row>
    <row r="90" spans="1:4" x14ac:dyDescent="0.2">
      <c r="A90" s="1" t="s">
        <v>25</v>
      </c>
      <c r="B90" s="1" t="s">
        <v>336</v>
      </c>
      <c r="C90" s="1" t="s">
        <v>572</v>
      </c>
      <c r="D90" s="2">
        <v>45814</v>
      </c>
    </row>
    <row r="91" spans="1:4" x14ac:dyDescent="0.2">
      <c r="A91" s="1" t="s">
        <v>37</v>
      </c>
      <c r="B91" s="1" t="s">
        <v>334</v>
      </c>
      <c r="C91" s="1" t="s">
        <v>605</v>
      </c>
      <c r="D91" s="2">
        <v>45814</v>
      </c>
    </row>
    <row r="92" spans="1:4" x14ac:dyDescent="0.2">
      <c r="A92" s="1" t="s">
        <v>20</v>
      </c>
      <c r="B92" s="1" t="s">
        <v>331</v>
      </c>
      <c r="C92" s="1" t="s">
        <v>623</v>
      </c>
      <c r="D92" s="2">
        <v>45814</v>
      </c>
    </row>
    <row r="93" spans="1:4" x14ac:dyDescent="0.2">
      <c r="A93" s="1" t="s">
        <v>25</v>
      </c>
      <c r="B93" s="1" t="s">
        <v>334</v>
      </c>
      <c r="C93" s="1" t="s">
        <v>682</v>
      </c>
      <c r="D93" s="2">
        <v>45814</v>
      </c>
    </row>
    <row r="94" spans="1:4" x14ac:dyDescent="0.2">
      <c r="A94" s="1" t="s">
        <v>59</v>
      </c>
      <c r="B94" s="1" t="s">
        <v>340</v>
      </c>
      <c r="C94" s="1" t="s">
        <v>754</v>
      </c>
      <c r="D94" s="2">
        <v>45814</v>
      </c>
    </row>
    <row r="95" spans="1:4" x14ac:dyDescent="0.2">
      <c r="A95" s="1" t="s">
        <v>20</v>
      </c>
      <c r="B95" s="1" t="s">
        <v>336</v>
      </c>
      <c r="C95" s="1" t="s">
        <v>794</v>
      </c>
      <c r="D95" s="2">
        <v>45814</v>
      </c>
    </row>
    <row r="96" spans="1:4" x14ac:dyDescent="0.2">
      <c r="A96" s="1" t="s">
        <v>23</v>
      </c>
      <c r="B96" s="1" t="s">
        <v>334</v>
      </c>
      <c r="C96" s="1" t="s">
        <v>806</v>
      </c>
      <c r="D96" s="2">
        <v>45814</v>
      </c>
    </row>
    <row r="97" spans="1:4" x14ac:dyDescent="0.2">
      <c r="A97" s="1" t="s">
        <v>59</v>
      </c>
      <c r="B97" s="1" t="s">
        <v>336</v>
      </c>
      <c r="C97" s="1" t="s">
        <v>816</v>
      </c>
      <c r="D97" s="2">
        <v>45814</v>
      </c>
    </row>
    <row r="98" spans="1:4" x14ac:dyDescent="0.2">
      <c r="A98" s="1" t="s">
        <v>8</v>
      </c>
      <c r="B98" s="1" t="s">
        <v>340</v>
      </c>
      <c r="C98" s="1" t="s">
        <v>441</v>
      </c>
      <c r="D98" s="2">
        <v>45815</v>
      </c>
    </row>
    <row r="99" spans="1:4" x14ac:dyDescent="0.2">
      <c r="A99" s="1" t="s">
        <v>8</v>
      </c>
      <c r="B99" s="1" t="s">
        <v>340</v>
      </c>
      <c r="C99" s="1" t="s">
        <v>464</v>
      </c>
      <c r="D99" s="2">
        <v>45815</v>
      </c>
    </row>
    <row r="100" spans="1:4" x14ac:dyDescent="0.2">
      <c r="A100" s="1" t="s">
        <v>31</v>
      </c>
      <c r="B100" s="1" t="s">
        <v>331</v>
      </c>
      <c r="C100" s="1" t="s">
        <v>499</v>
      </c>
      <c r="D100" s="2">
        <v>45815</v>
      </c>
    </row>
    <row r="101" spans="1:4" x14ac:dyDescent="0.2">
      <c r="A101" s="1" t="s">
        <v>23</v>
      </c>
      <c r="B101" s="1" t="s">
        <v>336</v>
      </c>
      <c r="C101" s="1" t="s">
        <v>508</v>
      </c>
      <c r="D101" s="2">
        <v>45815</v>
      </c>
    </row>
    <row r="102" spans="1:4" x14ac:dyDescent="0.2">
      <c r="A102" s="1" t="s">
        <v>17</v>
      </c>
      <c r="B102" s="1" t="s">
        <v>336</v>
      </c>
      <c r="C102" s="1" t="s">
        <v>505</v>
      </c>
      <c r="D102" s="2">
        <v>45815</v>
      </c>
    </row>
    <row r="103" spans="1:4" x14ac:dyDescent="0.2">
      <c r="A103" s="1" t="s">
        <v>31</v>
      </c>
      <c r="B103" s="1" t="s">
        <v>336</v>
      </c>
      <c r="C103" s="1" t="s">
        <v>527</v>
      </c>
      <c r="D103" s="2">
        <v>45815</v>
      </c>
    </row>
    <row r="104" spans="1:4" x14ac:dyDescent="0.2">
      <c r="A104" s="1" t="s">
        <v>8</v>
      </c>
      <c r="B104" s="1" t="s">
        <v>331</v>
      </c>
      <c r="C104" s="1" t="s">
        <v>576</v>
      </c>
      <c r="D104" s="2">
        <v>45815</v>
      </c>
    </row>
    <row r="105" spans="1:4" x14ac:dyDescent="0.2">
      <c r="A105" s="1" t="s">
        <v>37</v>
      </c>
      <c r="B105" s="1" t="s">
        <v>336</v>
      </c>
      <c r="C105" s="1" t="s">
        <v>596</v>
      </c>
      <c r="D105" s="2">
        <v>45815</v>
      </c>
    </row>
    <row r="106" spans="1:4" x14ac:dyDescent="0.2">
      <c r="A106" s="1" t="s">
        <v>20</v>
      </c>
      <c r="B106" s="1" t="s">
        <v>340</v>
      </c>
      <c r="C106" s="1" t="s">
        <v>542</v>
      </c>
      <c r="D106" s="2">
        <v>45815</v>
      </c>
    </row>
    <row r="107" spans="1:4" x14ac:dyDescent="0.2">
      <c r="A107" s="1" t="s">
        <v>34</v>
      </c>
      <c r="B107" s="1" t="s">
        <v>336</v>
      </c>
      <c r="C107" s="1" t="s">
        <v>671</v>
      </c>
      <c r="D107" s="2">
        <v>45815</v>
      </c>
    </row>
    <row r="108" spans="1:4" x14ac:dyDescent="0.2">
      <c r="A108" s="1" t="s">
        <v>34</v>
      </c>
      <c r="B108" s="1" t="s">
        <v>331</v>
      </c>
      <c r="C108" s="1" t="s">
        <v>681</v>
      </c>
      <c r="D108" s="2">
        <v>45815</v>
      </c>
    </row>
    <row r="109" spans="1:4" x14ac:dyDescent="0.2">
      <c r="A109" s="1" t="s">
        <v>25</v>
      </c>
      <c r="B109" s="1" t="s">
        <v>336</v>
      </c>
      <c r="C109" s="1" t="s">
        <v>736</v>
      </c>
      <c r="D109" s="2">
        <v>45815</v>
      </c>
    </row>
    <row r="110" spans="1:4" x14ac:dyDescent="0.2">
      <c r="A110" s="1" t="s">
        <v>59</v>
      </c>
      <c r="B110" s="1" t="s">
        <v>340</v>
      </c>
      <c r="C110" s="1" t="s">
        <v>742</v>
      </c>
      <c r="D110" s="2">
        <v>45815</v>
      </c>
    </row>
    <row r="111" spans="1:4" x14ac:dyDescent="0.2">
      <c r="A111" s="1" t="s">
        <v>20</v>
      </c>
      <c r="B111" s="1" t="s">
        <v>340</v>
      </c>
      <c r="C111" s="1" t="s">
        <v>774</v>
      </c>
      <c r="D111" s="2">
        <v>45815</v>
      </c>
    </row>
    <row r="112" spans="1:4" x14ac:dyDescent="0.2">
      <c r="A112" s="1" t="s">
        <v>34</v>
      </c>
      <c r="B112" s="1" t="s">
        <v>334</v>
      </c>
      <c r="C112" s="1" t="s">
        <v>775</v>
      </c>
      <c r="D112" s="2">
        <v>45815</v>
      </c>
    </row>
    <row r="113" spans="1:4" x14ac:dyDescent="0.2">
      <c r="A113" s="1" t="s">
        <v>20</v>
      </c>
      <c r="B113" s="1" t="s">
        <v>340</v>
      </c>
      <c r="C113" s="1" t="s">
        <v>792</v>
      </c>
      <c r="D113" s="2">
        <v>45815</v>
      </c>
    </row>
    <row r="114" spans="1:4" x14ac:dyDescent="0.2">
      <c r="A114" s="1" t="s">
        <v>8</v>
      </c>
      <c r="B114" s="1" t="s">
        <v>331</v>
      </c>
      <c r="C114" s="1" t="s">
        <v>798</v>
      </c>
      <c r="D114" s="2">
        <v>45815</v>
      </c>
    </row>
    <row r="115" spans="1:4" x14ac:dyDescent="0.2">
      <c r="A115" s="1" t="s">
        <v>8</v>
      </c>
      <c r="B115" s="1" t="s">
        <v>331</v>
      </c>
      <c r="C115" s="1" t="s">
        <v>353</v>
      </c>
      <c r="D115" s="2">
        <v>45816</v>
      </c>
    </row>
    <row r="116" spans="1:4" x14ac:dyDescent="0.2">
      <c r="A116" s="1" t="s">
        <v>37</v>
      </c>
      <c r="B116" s="1" t="s">
        <v>336</v>
      </c>
      <c r="C116" s="1" t="s">
        <v>365</v>
      </c>
      <c r="D116" s="2">
        <v>45816</v>
      </c>
    </row>
    <row r="117" spans="1:4" x14ac:dyDescent="0.2">
      <c r="A117" s="1" t="s">
        <v>20</v>
      </c>
      <c r="B117" s="1" t="s">
        <v>334</v>
      </c>
      <c r="C117" s="1" t="s">
        <v>385</v>
      </c>
      <c r="D117" s="2">
        <v>45816</v>
      </c>
    </row>
    <row r="118" spans="1:4" x14ac:dyDescent="0.2">
      <c r="A118" s="1" t="s">
        <v>59</v>
      </c>
      <c r="B118" s="1" t="s">
        <v>334</v>
      </c>
      <c r="C118" s="1" t="s">
        <v>445</v>
      </c>
      <c r="D118" s="2">
        <v>45816</v>
      </c>
    </row>
    <row r="119" spans="1:4" x14ac:dyDescent="0.2">
      <c r="A119" s="1" t="s">
        <v>31</v>
      </c>
      <c r="B119" s="1" t="s">
        <v>336</v>
      </c>
      <c r="C119" s="1" t="s">
        <v>471</v>
      </c>
      <c r="D119" s="2">
        <v>45816</v>
      </c>
    </row>
    <row r="120" spans="1:4" x14ac:dyDescent="0.2">
      <c r="A120" s="1" t="s">
        <v>17</v>
      </c>
      <c r="B120" s="1" t="s">
        <v>334</v>
      </c>
      <c r="C120" s="1" t="s">
        <v>505</v>
      </c>
      <c r="D120" s="2">
        <v>45816</v>
      </c>
    </row>
    <row r="121" spans="1:4" x14ac:dyDescent="0.2">
      <c r="A121" s="1" t="s">
        <v>17</v>
      </c>
      <c r="B121" s="1" t="s">
        <v>331</v>
      </c>
      <c r="C121" s="1" t="s">
        <v>564</v>
      </c>
      <c r="D121" s="2">
        <v>45816</v>
      </c>
    </row>
    <row r="122" spans="1:4" x14ac:dyDescent="0.2">
      <c r="A122" s="1" t="s">
        <v>59</v>
      </c>
      <c r="B122" s="1" t="s">
        <v>336</v>
      </c>
      <c r="C122" s="1" t="s">
        <v>629</v>
      </c>
      <c r="D122" s="2">
        <v>45816</v>
      </c>
    </row>
    <row r="123" spans="1:4" x14ac:dyDescent="0.2">
      <c r="A123" s="1" t="s">
        <v>8</v>
      </c>
      <c r="B123" s="1" t="s">
        <v>336</v>
      </c>
      <c r="C123" s="1" t="s">
        <v>647</v>
      </c>
      <c r="D123" s="2">
        <v>45816</v>
      </c>
    </row>
    <row r="124" spans="1:4" x14ac:dyDescent="0.2">
      <c r="A124" s="1" t="s">
        <v>20</v>
      </c>
      <c r="B124" s="1" t="s">
        <v>336</v>
      </c>
      <c r="C124" s="1" t="s">
        <v>747</v>
      </c>
      <c r="D124" s="2">
        <v>45816</v>
      </c>
    </row>
    <row r="125" spans="1:4" x14ac:dyDescent="0.2">
      <c r="A125" s="1" t="s">
        <v>59</v>
      </c>
      <c r="B125" s="1" t="s">
        <v>340</v>
      </c>
      <c r="C125" s="1" t="s">
        <v>396</v>
      </c>
      <c r="D125" s="2">
        <v>45816</v>
      </c>
    </row>
    <row r="126" spans="1:4" x14ac:dyDescent="0.2">
      <c r="A126" s="1" t="s">
        <v>31</v>
      </c>
      <c r="B126" s="1" t="s">
        <v>336</v>
      </c>
      <c r="C126" s="1" t="s">
        <v>349</v>
      </c>
      <c r="D126" s="2">
        <v>45817</v>
      </c>
    </row>
    <row r="127" spans="1:4" x14ac:dyDescent="0.2">
      <c r="A127" s="1" t="s">
        <v>8</v>
      </c>
      <c r="B127" s="1" t="s">
        <v>336</v>
      </c>
      <c r="C127" s="1" t="s">
        <v>351</v>
      </c>
      <c r="D127" s="2">
        <v>45817</v>
      </c>
    </row>
    <row r="128" spans="1:4" x14ac:dyDescent="0.2">
      <c r="A128" s="1" t="s">
        <v>17</v>
      </c>
      <c r="B128" s="1" t="s">
        <v>336</v>
      </c>
      <c r="C128" s="1" t="s">
        <v>389</v>
      </c>
      <c r="D128" s="2">
        <v>45817</v>
      </c>
    </row>
    <row r="129" spans="1:4" x14ac:dyDescent="0.2">
      <c r="A129" s="1" t="s">
        <v>34</v>
      </c>
      <c r="B129" s="1" t="s">
        <v>331</v>
      </c>
      <c r="C129" s="1" t="s">
        <v>407</v>
      </c>
      <c r="D129" s="2">
        <v>45817</v>
      </c>
    </row>
    <row r="130" spans="1:4" x14ac:dyDescent="0.2">
      <c r="A130" s="1" t="s">
        <v>17</v>
      </c>
      <c r="B130" s="1" t="s">
        <v>331</v>
      </c>
      <c r="C130" s="1" t="s">
        <v>417</v>
      </c>
      <c r="D130" s="2">
        <v>45817</v>
      </c>
    </row>
    <row r="131" spans="1:4" x14ac:dyDescent="0.2">
      <c r="A131" s="1" t="s">
        <v>59</v>
      </c>
      <c r="B131" s="1" t="s">
        <v>331</v>
      </c>
      <c r="C131" s="1" t="s">
        <v>481</v>
      </c>
      <c r="D131" s="2">
        <v>45817</v>
      </c>
    </row>
    <row r="132" spans="1:4" x14ac:dyDescent="0.2">
      <c r="A132" s="1" t="s">
        <v>34</v>
      </c>
      <c r="B132" s="1" t="s">
        <v>334</v>
      </c>
      <c r="C132" s="1" t="s">
        <v>487</v>
      </c>
      <c r="D132" s="2">
        <v>45817</v>
      </c>
    </row>
    <row r="133" spans="1:4" x14ac:dyDescent="0.2">
      <c r="A133" s="1" t="s">
        <v>20</v>
      </c>
      <c r="B133" s="1" t="s">
        <v>331</v>
      </c>
      <c r="C133" s="1" t="s">
        <v>536</v>
      </c>
      <c r="D133" s="2">
        <v>45817</v>
      </c>
    </row>
    <row r="134" spans="1:4" x14ac:dyDescent="0.2">
      <c r="A134" s="1" t="s">
        <v>8</v>
      </c>
      <c r="B134" s="1" t="s">
        <v>336</v>
      </c>
      <c r="C134" s="1" t="s">
        <v>540</v>
      </c>
      <c r="D134" s="2">
        <v>45817</v>
      </c>
    </row>
    <row r="135" spans="1:4" x14ac:dyDescent="0.2">
      <c r="A135" s="1" t="s">
        <v>25</v>
      </c>
      <c r="B135" s="1" t="s">
        <v>331</v>
      </c>
      <c r="C135" s="1" t="s">
        <v>610</v>
      </c>
      <c r="D135" s="2">
        <v>45817</v>
      </c>
    </row>
    <row r="136" spans="1:4" x14ac:dyDescent="0.2">
      <c r="A136" s="1" t="s">
        <v>23</v>
      </c>
      <c r="B136" s="1" t="s">
        <v>334</v>
      </c>
      <c r="C136" s="1" t="s">
        <v>612</v>
      </c>
      <c r="D136" s="2">
        <v>45817</v>
      </c>
    </row>
    <row r="137" spans="1:4" x14ac:dyDescent="0.2">
      <c r="A137" s="1" t="s">
        <v>31</v>
      </c>
      <c r="B137" s="1" t="s">
        <v>331</v>
      </c>
      <c r="C137" s="1" t="s">
        <v>631</v>
      </c>
      <c r="D137" s="2">
        <v>45817</v>
      </c>
    </row>
    <row r="138" spans="1:4" x14ac:dyDescent="0.2">
      <c r="A138" s="1" t="s">
        <v>23</v>
      </c>
      <c r="B138" s="1" t="s">
        <v>331</v>
      </c>
      <c r="C138" s="1" t="s">
        <v>636</v>
      </c>
      <c r="D138" s="2">
        <v>45817</v>
      </c>
    </row>
    <row r="139" spans="1:4" x14ac:dyDescent="0.2">
      <c r="A139" s="1" t="s">
        <v>31</v>
      </c>
      <c r="B139" s="1" t="s">
        <v>340</v>
      </c>
      <c r="C139" s="1" t="s">
        <v>677</v>
      </c>
      <c r="D139" s="2">
        <v>45817</v>
      </c>
    </row>
    <row r="140" spans="1:4" x14ac:dyDescent="0.2">
      <c r="A140" s="1" t="s">
        <v>8</v>
      </c>
      <c r="B140" s="1" t="s">
        <v>340</v>
      </c>
      <c r="C140" s="1" t="s">
        <v>341</v>
      </c>
      <c r="D140" s="2">
        <v>45818</v>
      </c>
    </row>
    <row r="141" spans="1:4" x14ac:dyDescent="0.2">
      <c r="A141" s="1" t="s">
        <v>25</v>
      </c>
      <c r="B141" s="1" t="s">
        <v>334</v>
      </c>
      <c r="C141" s="1" t="s">
        <v>346</v>
      </c>
      <c r="D141" s="2">
        <v>45818</v>
      </c>
    </row>
    <row r="142" spans="1:4" x14ac:dyDescent="0.2">
      <c r="A142" s="1" t="s">
        <v>25</v>
      </c>
      <c r="B142" s="1" t="s">
        <v>334</v>
      </c>
      <c r="C142" s="1" t="s">
        <v>357</v>
      </c>
      <c r="D142" s="2">
        <v>45818</v>
      </c>
    </row>
    <row r="143" spans="1:4" x14ac:dyDescent="0.2">
      <c r="A143" s="1" t="s">
        <v>59</v>
      </c>
      <c r="B143" s="1" t="s">
        <v>334</v>
      </c>
      <c r="C143" s="1" t="s">
        <v>359</v>
      </c>
      <c r="D143" s="2">
        <v>45818</v>
      </c>
    </row>
    <row r="144" spans="1:4" x14ac:dyDescent="0.2">
      <c r="A144" s="1" t="s">
        <v>37</v>
      </c>
      <c r="B144" s="1" t="s">
        <v>331</v>
      </c>
      <c r="C144" s="1" t="s">
        <v>381</v>
      </c>
      <c r="D144" s="2">
        <v>45818</v>
      </c>
    </row>
    <row r="145" spans="1:4" x14ac:dyDescent="0.2">
      <c r="A145" s="1" t="s">
        <v>59</v>
      </c>
      <c r="B145" s="1" t="s">
        <v>336</v>
      </c>
      <c r="C145" s="1" t="s">
        <v>401</v>
      </c>
      <c r="D145" s="2">
        <v>45818</v>
      </c>
    </row>
    <row r="146" spans="1:4" x14ac:dyDescent="0.2">
      <c r="A146" s="1" t="s">
        <v>20</v>
      </c>
      <c r="B146" s="1" t="s">
        <v>336</v>
      </c>
      <c r="C146" s="1" t="s">
        <v>457</v>
      </c>
      <c r="D146" s="2">
        <v>45818</v>
      </c>
    </row>
    <row r="147" spans="1:4" x14ac:dyDescent="0.2">
      <c r="A147" s="1" t="s">
        <v>59</v>
      </c>
      <c r="B147" s="1" t="s">
        <v>331</v>
      </c>
      <c r="C147" s="1" t="s">
        <v>468</v>
      </c>
      <c r="D147" s="2">
        <v>45818</v>
      </c>
    </row>
    <row r="148" spans="1:4" x14ac:dyDescent="0.2">
      <c r="A148" s="1" t="s">
        <v>25</v>
      </c>
      <c r="B148" s="1" t="s">
        <v>334</v>
      </c>
      <c r="C148" s="1" t="s">
        <v>470</v>
      </c>
      <c r="D148" s="2">
        <v>45818</v>
      </c>
    </row>
    <row r="149" spans="1:4" x14ac:dyDescent="0.2">
      <c r="A149" s="1" t="s">
        <v>34</v>
      </c>
      <c r="B149" s="1" t="s">
        <v>334</v>
      </c>
      <c r="C149" s="1" t="s">
        <v>545</v>
      </c>
      <c r="D149" s="2">
        <v>45818</v>
      </c>
    </row>
    <row r="150" spans="1:4" x14ac:dyDescent="0.2">
      <c r="A150" s="1" t="s">
        <v>31</v>
      </c>
      <c r="B150" s="1" t="s">
        <v>340</v>
      </c>
      <c r="C150" s="1" t="s">
        <v>553</v>
      </c>
      <c r="D150" s="2">
        <v>45818</v>
      </c>
    </row>
    <row r="151" spans="1:4" x14ac:dyDescent="0.2">
      <c r="A151" s="1" t="s">
        <v>31</v>
      </c>
      <c r="B151" s="1" t="s">
        <v>331</v>
      </c>
      <c r="C151" s="1" t="s">
        <v>577</v>
      </c>
      <c r="D151" s="2">
        <v>45818</v>
      </c>
    </row>
    <row r="152" spans="1:4" x14ac:dyDescent="0.2">
      <c r="A152" s="1" t="s">
        <v>20</v>
      </c>
      <c r="B152" s="1" t="s">
        <v>331</v>
      </c>
      <c r="C152" s="1" t="s">
        <v>634</v>
      </c>
      <c r="D152" s="2">
        <v>45818</v>
      </c>
    </row>
    <row r="153" spans="1:4" x14ac:dyDescent="0.2">
      <c r="A153" s="1" t="s">
        <v>23</v>
      </c>
      <c r="B153" s="1" t="s">
        <v>336</v>
      </c>
      <c r="C153" s="1" t="s">
        <v>644</v>
      </c>
      <c r="D153" s="2">
        <v>45818</v>
      </c>
    </row>
    <row r="154" spans="1:4" x14ac:dyDescent="0.2">
      <c r="A154" s="1" t="s">
        <v>8</v>
      </c>
      <c r="B154" s="1" t="s">
        <v>334</v>
      </c>
      <c r="C154" s="1" t="s">
        <v>652</v>
      </c>
      <c r="D154" s="2">
        <v>45818</v>
      </c>
    </row>
    <row r="155" spans="1:4" x14ac:dyDescent="0.2">
      <c r="A155" s="1" t="s">
        <v>59</v>
      </c>
      <c r="B155" s="1" t="s">
        <v>336</v>
      </c>
      <c r="C155" s="1" t="s">
        <v>443</v>
      </c>
      <c r="D155" s="2">
        <v>45818</v>
      </c>
    </row>
    <row r="156" spans="1:4" x14ac:dyDescent="0.2">
      <c r="A156" s="1" t="s">
        <v>23</v>
      </c>
      <c r="B156" s="1" t="s">
        <v>336</v>
      </c>
      <c r="C156" s="1" t="s">
        <v>688</v>
      </c>
      <c r="D156" s="2">
        <v>45818</v>
      </c>
    </row>
    <row r="157" spans="1:4" x14ac:dyDescent="0.2">
      <c r="A157" s="1" t="s">
        <v>20</v>
      </c>
      <c r="B157" s="1" t="s">
        <v>331</v>
      </c>
      <c r="C157" s="1" t="s">
        <v>789</v>
      </c>
      <c r="D157" s="2">
        <v>45818</v>
      </c>
    </row>
    <row r="158" spans="1:4" x14ac:dyDescent="0.2">
      <c r="A158" s="1" t="s">
        <v>25</v>
      </c>
      <c r="B158" s="1" t="s">
        <v>336</v>
      </c>
      <c r="C158" s="1" t="s">
        <v>358</v>
      </c>
      <c r="D158" s="2">
        <v>45819</v>
      </c>
    </row>
    <row r="159" spans="1:4" x14ac:dyDescent="0.2">
      <c r="A159" s="1" t="s">
        <v>59</v>
      </c>
      <c r="B159" s="1" t="s">
        <v>331</v>
      </c>
      <c r="C159" s="1" t="s">
        <v>379</v>
      </c>
      <c r="D159" s="2">
        <v>45819</v>
      </c>
    </row>
    <row r="160" spans="1:4" x14ac:dyDescent="0.2">
      <c r="A160" s="1" t="s">
        <v>34</v>
      </c>
      <c r="B160" s="1" t="s">
        <v>336</v>
      </c>
      <c r="C160" s="1" t="s">
        <v>384</v>
      </c>
      <c r="D160" s="2">
        <v>45819</v>
      </c>
    </row>
    <row r="161" spans="1:4" x14ac:dyDescent="0.2">
      <c r="A161" s="1" t="s">
        <v>34</v>
      </c>
      <c r="B161" s="1" t="s">
        <v>334</v>
      </c>
      <c r="C161" s="1" t="s">
        <v>430</v>
      </c>
      <c r="D161" s="2">
        <v>45819</v>
      </c>
    </row>
    <row r="162" spans="1:4" x14ac:dyDescent="0.2">
      <c r="A162" s="1" t="s">
        <v>31</v>
      </c>
      <c r="B162" s="1" t="s">
        <v>331</v>
      </c>
      <c r="C162" s="1" t="s">
        <v>453</v>
      </c>
      <c r="D162" s="2">
        <v>45819</v>
      </c>
    </row>
    <row r="163" spans="1:4" x14ac:dyDescent="0.2">
      <c r="A163" s="1" t="s">
        <v>23</v>
      </c>
      <c r="B163" s="1" t="s">
        <v>340</v>
      </c>
      <c r="C163" s="1" t="s">
        <v>477</v>
      </c>
      <c r="D163" s="2">
        <v>45819</v>
      </c>
    </row>
    <row r="164" spans="1:4" x14ac:dyDescent="0.2">
      <c r="A164" s="1" t="s">
        <v>17</v>
      </c>
      <c r="B164" s="1" t="s">
        <v>334</v>
      </c>
      <c r="C164" s="1" t="s">
        <v>486</v>
      </c>
      <c r="D164" s="2">
        <v>45819</v>
      </c>
    </row>
    <row r="165" spans="1:4" x14ac:dyDescent="0.2">
      <c r="A165" s="1" t="s">
        <v>37</v>
      </c>
      <c r="B165" s="1" t="s">
        <v>331</v>
      </c>
      <c r="C165" s="1" t="s">
        <v>491</v>
      </c>
      <c r="D165" s="2">
        <v>45819</v>
      </c>
    </row>
    <row r="166" spans="1:4" x14ac:dyDescent="0.2">
      <c r="A166" s="1" t="s">
        <v>59</v>
      </c>
      <c r="B166" s="1" t="s">
        <v>334</v>
      </c>
      <c r="C166" s="1" t="s">
        <v>510</v>
      </c>
      <c r="D166" s="2">
        <v>45819</v>
      </c>
    </row>
    <row r="167" spans="1:4" x14ac:dyDescent="0.2">
      <c r="A167" s="1" t="s">
        <v>20</v>
      </c>
      <c r="B167" s="1" t="s">
        <v>334</v>
      </c>
      <c r="C167" s="1" t="s">
        <v>548</v>
      </c>
      <c r="D167" s="2">
        <v>45819</v>
      </c>
    </row>
    <row r="168" spans="1:4" x14ac:dyDescent="0.2">
      <c r="A168" s="1" t="s">
        <v>8</v>
      </c>
      <c r="B168" s="1" t="s">
        <v>336</v>
      </c>
      <c r="C168" s="1" t="s">
        <v>562</v>
      </c>
      <c r="D168" s="2">
        <v>45819</v>
      </c>
    </row>
    <row r="169" spans="1:4" x14ac:dyDescent="0.2">
      <c r="A169" s="1" t="s">
        <v>8</v>
      </c>
      <c r="B169" s="1" t="s">
        <v>334</v>
      </c>
      <c r="C169" s="1" t="s">
        <v>635</v>
      </c>
      <c r="D169" s="2">
        <v>45819</v>
      </c>
    </row>
    <row r="170" spans="1:4" x14ac:dyDescent="0.2">
      <c r="A170" s="1" t="s">
        <v>59</v>
      </c>
      <c r="B170" s="1" t="s">
        <v>340</v>
      </c>
      <c r="C170" s="1" t="s">
        <v>656</v>
      </c>
      <c r="D170" s="2">
        <v>45819</v>
      </c>
    </row>
    <row r="171" spans="1:4" x14ac:dyDescent="0.2">
      <c r="A171" s="1" t="s">
        <v>59</v>
      </c>
      <c r="B171" s="1" t="s">
        <v>340</v>
      </c>
      <c r="C171" s="1" t="s">
        <v>708</v>
      </c>
      <c r="D171" s="2">
        <v>45819</v>
      </c>
    </row>
    <row r="172" spans="1:4" x14ac:dyDescent="0.2">
      <c r="A172" s="1" t="s">
        <v>23</v>
      </c>
      <c r="B172" s="1" t="s">
        <v>336</v>
      </c>
      <c r="C172" s="1" t="s">
        <v>715</v>
      </c>
      <c r="D172" s="2">
        <v>45819</v>
      </c>
    </row>
    <row r="173" spans="1:4" x14ac:dyDescent="0.2">
      <c r="A173" s="1" t="s">
        <v>34</v>
      </c>
      <c r="B173" s="1" t="s">
        <v>331</v>
      </c>
      <c r="C173" s="1" t="s">
        <v>733</v>
      </c>
      <c r="D173" s="2">
        <v>45819</v>
      </c>
    </row>
    <row r="174" spans="1:4" x14ac:dyDescent="0.2">
      <c r="A174" s="1" t="s">
        <v>59</v>
      </c>
      <c r="B174" s="1" t="s">
        <v>331</v>
      </c>
      <c r="C174" s="1" t="s">
        <v>757</v>
      </c>
      <c r="D174" s="2">
        <v>45819</v>
      </c>
    </row>
    <row r="175" spans="1:4" x14ac:dyDescent="0.2">
      <c r="A175" s="1" t="s">
        <v>34</v>
      </c>
      <c r="B175" s="1" t="s">
        <v>336</v>
      </c>
      <c r="C175" s="1" t="s">
        <v>764</v>
      </c>
      <c r="D175" s="2">
        <v>45819</v>
      </c>
    </row>
    <row r="176" spans="1:4" x14ac:dyDescent="0.2">
      <c r="A176" s="1" t="s">
        <v>59</v>
      </c>
      <c r="B176" s="1" t="s">
        <v>334</v>
      </c>
      <c r="C176" s="1" t="s">
        <v>339</v>
      </c>
      <c r="D176" s="2">
        <v>45820</v>
      </c>
    </row>
    <row r="177" spans="1:4" x14ac:dyDescent="0.2">
      <c r="A177" s="1" t="s">
        <v>20</v>
      </c>
      <c r="B177" s="1" t="s">
        <v>336</v>
      </c>
      <c r="C177" s="1" t="s">
        <v>375</v>
      </c>
      <c r="D177" s="2">
        <v>45820</v>
      </c>
    </row>
    <row r="178" spans="1:4" x14ac:dyDescent="0.2">
      <c r="A178" s="1" t="s">
        <v>25</v>
      </c>
      <c r="B178" s="1" t="s">
        <v>331</v>
      </c>
      <c r="C178" s="1" t="s">
        <v>438</v>
      </c>
      <c r="D178" s="2">
        <v>45820</v>
      </c>
    </row>
    <row r="179" spans="1:4" x14ac:dyDescent="0.2">
      <c r="A179" s="1" t="s">
        <v>8</v>
      </c>
      <c r="B179" s="1" t="s">
        <v>334</v>
      </c>
      <c r="C179" s="1" t="s">
        <v>492</v>
      </c>
      <c r="D179" s="2">
        <v>45820</v>
      </c>
    </row>
    <row r="180" spans="1:4" x14ac:dyDescent="0.2">
      <c r="A180" s="1" t="s">
        <v>31</v>
      </c>
      <c r="B180" s="1" t="s">
        <v>340</v>
      </c>
      <c r="C180" s="1" t="s">
        <v>511</v>
      </c>
      <c r="D180" s="2">
        <v>45820</v>
      </c>
    </row>
    <row r="181" spans="1:4" x14ac:dyDescent="0.2">
      <c r="A181" s="1" t="s">
        <v>20</v>
      </c>
      <c r="B181" s="1" t="s">
        <v>331</v>
      </c>
      <c r="C181" s="1" t="s">
        <v>552</v>
      </c>
      <c r="D181" s="2">
        <v>45820</v>
      </c>
    </row>
    <row r="182" spans="1:4" x14ac:dyDescent="0.2">
      <c r="A182" s="1" t="s">
        <v>31</v>
      </c>
      <c r="B182" s="1" t="s">
        <v>334</v>
      </c>
      <c r="C182" s="1" t="s">
        <v>567</v>
      </c>
      <c r="D182" s="2">
        <v>45820</v>
      </c>
    </row>
    <row r="183" spans="1:4" x14ac:dyDescent="0.2">
      <c r="A183" s="1" t="s">
        <v>20</v>
      </c>
      <c r="B183" s="1" t="s">
        <v>334</v>
      </c>
      <c r="C183" s="1" t="s">
        <v>586</v>
      </c>
      <c r="D183" s="2">
        <v>45820</v>
      </c>
    </row>
    <row r="184" spans="1:4" x14ac:dyDescent="0.2">
      <c r="A184" s="1" t="s">
        <v>23</v>
      </c>
      <c r="B184" s="1" t="s">
        <v>334</v>
      </c>
      <c r="C184" s="1" t="s">
        <v>648</v>
      </c>
      <c r="D184" s="2">
        <v>45820</v>
      </c>
    </row>
    <row r="185" spans="1:4" x14ac:dyDescent="0.2">
      <c r="A185" s="1" t="s">
        <v>59</v>
      </c>
      <c r="B185" s="1" t="s">
        <v>331</v>
      </c>
      <c r="C185" s="1" t="s">
        <v>669</v>
      </c>
      <c r="D185" s="2">
        <v>45820</v>
      </c>
    </row>
    <row r="186" spans="1:4" x14ac:dyDescent="0.2">
      <c r="A186" s="1" t="s">
        <v>17</v>
      </c>
      <c r="B186" s="1" t="s">
        <v>336</v>
      </c>
      <c r="C186" s="1" t="s">
        <v>452</v>
      </c>
      <c r="D186" s="2">
        <v>45820</v>
      </c>
    </row>
    <row r="187" spans="1:4" x14ac:dyDescent="0.2">
      <c r="A187" s="1" t="s">
        <v>59</v>
      </c>
      <c r="B187" s="1" t="s">
        <v>340</v>
      </c>
      <c r="C187" s="1" t="s">
        <v>690</v>
      </c>
      <c r="D187" s="2">
        <v>45820</v>
      </c>
    </row>
    <row r="188" spans="1:4" x14ac:dyDescent="0.2">
      <c r="A188" s="1" t="s">
        <v>37</v>
      </c>
      <c r="B188" s="1" t="s">
        <v>331</v>
      </c>
      <c r="C188" s="1" t="s">
        <v>694</v>
      </c>
      <c r="D188" s="2">
        <v>45820</v>
      </c>
    </row>
    <row r="189" spans="1:4" x14ac:dyDescent="0.2">
      <c r="A189" s="1" t="s">
        <v>34</v>
      </c>
      <c r="B189" s="1" t="s">
        <v>340</v>
      </c>
      <c r="C189" s="1" t="s">
        <v>719</v>
      </c>
      <c r="D189" s="2">
        <v>45820</v>
      </c>
    </row>
    <row r="190" spans="1:4" x14ac:dyDescent="0.2">
      <c r="A190" s="1" t="s">
        <v>20</v>
      </c>
      <c r="B190" s="1" t="s">
        <v>334</v>
      </c>
      <c r="C190" s="1" t="s">
        <v>763</v>
      </c>
      <c r="D190" s="2">
        <v>45820</v>
      </c>
    </row>
    <row r="191" spans="1:4" x14ac:dyDescent="0.2">
      <c r="A191" s="1" t="s">
        <v>37</v>
      </c>
      <c r="B191" s="1" t="s">
        <v>334</v>
      </c>
      <c r="C191" s="1" t="s">
        <v>805</v>
      </c>
      <c r="D191" s="2">
        <v>45820</v>
      </c>
    </row>
    <row r="192" spans="1:4" x14ac:dyDescent="0.2">
      <c r="A192" s="1" t="s">
        <v>20</v>
      </c>
      <c r="B192" s="1" t="s">
        <v>334</v>
      </c>
      <c r="C192" s="1" t="s">
        <v>812</v>
      </c>
      <c r="D192" s="2">
        <v>45820</v>
      </c>
    </row>
    <row r="193" spans="1:4" x14ac:dyDescent="0.2">
      <c r="A193" s="1" t="s">
        <v>37</v>
      </c>
      <c r="B193" s="1" t="s">
        <v>340</v>
      </c>
      <c r="C193" s="1" t="s">
        <v>814</v>
      </c>
      <c r="D193" s="2">
        <v>45820</v>
      </c>
    </row>
    <row r="194" spans="1:4" x14ac:dyDescent="0.2">
      <c r="A194" s="1" t="s">
        <v>59</v>
      </c>
      <c r="B194" s="1" t="s">
        <v>331</v>
      </c>
      <c r="C194" s="1" t="s">
        <v>355</v>
      </c>
      <c r="D194" s="2">
        <v>45821</v>
      </c>
    </row>
    <row r="195" spans="1:4" x14ac:dyDescent="0.2">
      <c r="A195" s="1" t="s">
        <v>37</v>
      </c>
      <c r="B195" s="1" t="s">
        <v>336</v>
      </c>
      <c r="C195" s="1" t="s">
        <v>360</v>
      </c>
      <c r="D195" s="2">
        <v>45821</v>
      </c>
    </row>
    <row r="196" spans="1:4" x14ac:dyDescent="0.2">
      <c r="A196" s="1" t="s">
        <v>34</v>
      </c>
      <c r="B196" s="1" t="s">
        <v>334</v>
      </c>
      <c r="C196" s="1" t="s">
        <v>388</v>
      </c>
      <c r="D196" s="2">
        <v>45821</v>
      </c>
    </row>
    <row r="197" spans="1:4" x14ac:dyDescent="0.2">
      <c r="A197" s="1" t="s">
        <v>25</v>
      </c>
      <c r="B197" s="1" t="s">
        <v>336</v>
      </c>
      <c r="C197" s="1" t="s">
        <v>398</v>
      </c>
      <c r="D197" s="2">
        <v>45821</v>
      </c>
    </row>
    <row r="198" spans="1:4" x14ac:dyDescent="0.2">
      <c r="A198" s="1" t="s">
        <v>59</v>
      </c>
      <c r="B198" s="1" t="s">
        <v>331</v>
      </c>
      <c r="C198" s="1" t="s">
        <v>424</v>
      </c>
      <c r="D198" s="2">
        <v>45821</v>
      </c>
    </row>
    <row r="199" spans="1:4" x14ac:dyDescent="0.2">
      <c r="A199" s="1" t="s">
        <v>37</v>
      </c>
      <c r="B199" s="1" t="s">
        <v>340</v>
      </c>
      <c r="C199" s="1" t="s">
        <v>425</v>
      </c>
      <c r="D199" s="2">
        <v>45821</v>
      </c>
    </row>
    <row r="200" spans="1:4" x14ac:dyDescent="0.2">
      <c r="A200" s="1" t="s">
        <v>17</v>
      </c>
      <c r="B200" s="1" t="s">
        <v>336</v>
      </c>
      <c r="C200" s="1" t="s">
        <v>458</v>
      </c>
      <c r="D200" s="2">
        <v>45821</v>
      </c>
    </row>
    <row r="201" spans="1:4" x14ac:dyDescent="0.2">
      <c r="A201" s="1" t="s">
        <v>31</v>
      </c>
      <c r="B201" s="1" t="s">
        <v>334</v>
      </c>
      <c r="C201" s="1" t="s">
        <v>526</v>
      </c>
      <c r="D201" s="2">
        <v>45821</v>
      </c>
    </row>
    <row r="202" spans="1:4" x14ac:dyDescent="0.2">
      <c r="A202" s="1" t="s">
        <v>8</v>
      </c>
      <c r="B202" s="1" t="s">
        <v>340</v>
      </c>
      <c r="C202" s="1" t="s">
        <v>566</v>
      </c>
      <c r="D202" s="2">
        <v>45821</v>
      </c>
    </row>
    <row r="203" spans="1:4" x14ac:dyDescent="0.2">
      <c r="A203" s="1" t="s">
        <v>34</v>
      </c>
      <c r="B203" s="1" t="s">
        <v>340</v>
      </c>
      <c r="C203" s="1" t="s">
        <v>578</v>
      </c>
      <c r="D203" s="2">
        <v>45821</v>
      </c>
    </row>
    <row r="204" spans="1:4" x14ac:dyDescent="0.2">
      <c r="A204" s="1" t="s">
        <v>25</v>
      </c>
      <c r="B204" s="1" t="s">
        <v>334</v>
      </c>
      <c r="C204" s="1" t="s">
        <v>604</v>
      </c>
      <c r="D204" s="2">
        <v>45821</v>
      </c>
    </row>
    <row r="205" spans="1:4" x14ac:dyDescent="0.2">
      <c r="A205" s="1" t="s">
        <v>8</v>
      </c>
      <c r="B205" s="1" t="s">
        <v>334</v>
      </c>
      <c r="C205" s="1" t="s">
        <v>675</v>
      </c>
      <c r="D205" s="2">
        <v>45821</v>
      </c>
    </row>
    <row r="206" spans="1:4" x14ac:dyDescent="0.2">
      <c r="A206" s="1" t="s">
        <v>25</v>
      </c>
      <c r="B206" s="1" t="s">
        <v>336</v>
      </c>
      <c r="C206" s="1" t="s">
        <v>695</v>
      </c>
      <c r="D206" s="2">
        <v>45821</v>
      </c>
    </row>
    <row r="207" spans="1:4" x14ac:dyDescent="0.2">
      <c r="A207" s="1" t="s">
        <v>20</v>
      </c>
      <c r="B207" s="1" t="s">
        <v>336</v>
      </c>
      <c r="C207" s="1" t="s">
        <v>710</v>
      </c>
      <c r="D207" s="2">
        <v>45821</v>
      </c>
    </row>
    <row r="208" spans="1:4" x14ac:dyDescent="0.2">
      <c r="A208" s="1" t="s">
        <v>17</v>
      </c>
      <c r="B208" s="1" t="s">
        <v>340</v>
      </c>
      <c r="C208" s="1" t="s">
        <v>741</v>
      </c>
      <c r="D208" s="2">
        <v>45821</v>
      </c>
    </row>
    <row r="209" spans="1:4" x14ac:dyDescent="0.2">
      <c r="A209" s="1" t="s">
        <v>34</v>
      </c>
      <c r="B209" s="1" t="s">
        <v>340</v>
      </c>
      <c r="C209" s="1" t="s">
        <v>768</v>
      </c>
      <c r="D209" s="2">
        <v>45821</v>
      </c>
    </row>
    <row r="210" spans="1:4" x14ac:dyDescent="0.2">
      <c r="A210" s="1" t="s">
        <v>34</v>
      </c>
      <c r="B210" s="1" t="s">
        <v>331</v>
      </c>
      <c r="C210" s="1" t="s">
        <v>333</v>
      </c>
      <c r="D210" s="2">
        <v>45822</v>
      </c>
    </row>
    <row r="211" spans="1:4" x14ac:dyDescent="0.2">
      <c r="A211" s="1" t="s">
        <v>59</v>
      </c>
      <c r="B211" s="1" t="s">
        <v>340</v>
      </c>
      <c r="C211" s="1" t="s">
        <v>343</v>
      </c>
      <c r="D211" s="2">
        <v>45822</v>
      </c>
    </row>
    <row r="212" spans="1:4" x14ac:dyDescent="0.2">
      <c r="A212" s="1" t="s">
        <v>31</v>
      </c>
      <c r="B212" s="1" t="s">
        <v>336</v>
      </c>
      <c r="C212" s="1" t="s">
        <v>399</v>
      </c>
      <c r="D212" s="2">
        <v>45822</v>
      </c>
    </row>
    <row r="213" spans="1:4" x14ac:dyDescent="0.2">
      <c r="A213" s="1" t="s">
        <v>8</v>
      </c>
      <c r="B213" s="1" t="s">
        <v>334</v>
      </c>
      <c r="C213" s="1" t="s">
        <v>429</v>
      </c>
      <c r="D213" s="2">
        <v>45822</v>
      </c>
    </row>
    <row r="214" spans="1:4" x14ac:dyDescent="0.2">
      <c r="A214" s="1" t="s">
        <v>17</v>
      </c>
      <c r="B214" s="1" t="s">
        <v>336</v>
      </c>
      <c r="C214" s="1" t="s">
        <v>502</v>
      </c>
      <c r="D214" s="2">
        <v>45822</v>
      </c>
    </row>
    <row r="215" spans="1:4" x14ac:dyDescent="0.2">
      <c r="A215" s="1" t="s">
        <v>23</v>
      </c>
      <c r="B215" s="1" t="s">
        <v>334</v>
      </c>
      <c r="C215" s="1" t="s">
        <v>532</v>
      </c>
      <c r="D215" s="2">
        <v>45822</v>
      </c>
    </row>
    <row r="216" spans="1:4" x14ac:dyDescent="0.2">
      <c r="A216" s="1" t="s">
        <v>17</v>
      </c>
      <c r="B216" s="1" t="s">
        <v>334</v>
      </c>
      <c r="C216" s="1" t="s">
        <v>592</v>
      </c>
      <c r="D216" s="2">
        <v>45822</v>
      </c>
    </row>
    <row r="217" spans="1:4" x14ac:dyDescent="0.2">
      <c r="A217" s="1" t="s">
        <v>34</v>
      </c>
      <c r="B217" s="1" t="s">
        <v>336</v>
      </c>
      <c r="C217" s="1" t="s">
        <v>524</v>
      </c>
      <c r="D217" s="2">
        <v>45822</v>
      </c>
    </row>
    <row r="218" spans="1:4" x14ac:dyDescent="0.2">
      <c r="A218" s="1" t="s">
        <v>23</v>
      </c>
      <c r="B218" s="1" t="s">
        <v>331</v>
      </c>
      <c r="C218" s="1" t="s">
        <v>630</v>
      </c>
      <c r="D218" s="2">
        <v>45822</v>
      </c>
    </row>
    <row r="219" spans="1:4" x14ac:dyDescent="0.2">
      <c r="A219" s="1" t="s">
        <v>17</v>
      </c>
      <c r="B219" s="1" t="s">
        <v>336</v>
      </c>
      <c r="C219" s="1" t="s">
        <v>699</v>
      </c>
      <c r="D219" s="2">
        <v>45822</v>
      </c>
    </row>
    <row r="220" spans="1:4" x14ac:dyDescent="0.2">
      <c r="A220" s="1" t="s">
        <v>17</v>
      </c>
      <c r="B220" s="1" t="s">
        <v>340</v>
      </c>
      <c r="C220" s="1" t="s">
        <v>670</v>
      </c>
      <c r="D220" s="2">
        <v>45822</v>
      </c>
    </row>
    <row r="221" spans="1:4" x14ac:dyDescent="0.2">
      <c r="A221" s="1" t="s">
        <v>8</v>
      </c>
      <c r="B221" s="1" t="s">
        <v>336</v>
      </c>
      <c r="C221" s="1" t="s">
        <v>780</v>
      </c>
      <c r="D221" s="2">
        <v>45822</v>
      </c>
    </row>
    <row r="222" spans="1:4" x14ac:dyDescent="0.2">
      <c r="A222" s="1" t="s">
        <v>31</v>
      </c>
      <c r="B222" s="1" t="s">
        <v>334</v>
      </c>
      <c r="C222" s="1" t="s">
        <v>781</v>
      </c>
      <c r="D222" s="2">
        <v>45822</v>
      </c>
    </row>
    <row r="223" spans="1:4" x14ac:dyDescent="0.2">
      <c r="A223" s="1" t="s">
        <v>59</v>
      </c>
      <c r="B223" s="1" t="s">
        <v>331</v>
      </c>
      <c r="C223" s="1" t="s">
        <v>803</v>
      </c>
      <c r="D223" s="2">
        <v>45822</v>
      </c>
    </row>
    <row r="224" spans="1:4" x14ac:dyDescent="0.2">
      <c r="A224" s="1" t="s">
        <v>25</v>
      </c>
      <c r="B224" s="1" t="s">
        <v>334</v>
      </c>
      <c r="C224" s="1" t="s">
        <v>356</v>
      </c>
      <c r="D224" s="2">
        <v>45823</v>
      </c>
    </row>
    <row r="225" spans="1:4" x14ac:dyDescent="0.2">
      <c r="A225" s="1" t="s">
        <v>25</v>
      </c>
      <c r="B225" s="1" t="s">
        <v>334</v>
      </c>
      <c r="C225" s="1" t="s">
        <v>380</v>
      </c>
      <c r="D225" s="2">
        <v>45823</v>
      </c>
    </row>
    <row r="226" spans="1:4" x14ac:dyDescent="0.2">
      <c r="A226" s="1" t="s">
        <v>25</v>
      </c>
      <c r="B226" s="1" t="s">
        <v>331</v>
      </c>
      <c r="C226" s="1" t="s">
        <v>391</v>
      </c>
      <c r="D226" s="2">
        <v>45823</v>
      </c>
    </row>
    <row r="227" spans="1:4" x14ac:dyDescent="0.2">
      <c r="A227" s="1" t="s">
        <v>34</v>
      </c>
      <c r="B227" s="1" t="s">
        <v>331</v>
      </c>
      <c r="C227" s="1" t="s">
        <v>412</v>
      </c>
      <c r="D227" s="2">
        <v>45823</v>
      </c>
    </row>
    <row r="228" spans="1:4" x14ac:dyDescent="0.2">
      <c r="A228" s="1" t="s">
        <v>23</v>
      </c>
      <c r="B228" s="1" t="s">
        <v>331</v>
      </c>
      <c r="C228" s="1" t="s">
        <v>413</v>
      </c>
      <c r="D228" s="2">
        <v>45823</v>
      </c>
    </row>
    <row r="229" spans="1:4" x14ac:dyDescent="0.2">
      <c r="A229" s="1" t="s">
        <v>20</v>
      </c>
      <c r="B229" s="1" t="s">
        <v>331</v>
      </c>
      <c r="C229" s="1" t="s">
        <v>426</v>
      </c>
      <c r="D229" s="2">
        <v>45823</v>
      </c>
    </row>
    <row r="230" spans="1:4" x14ac:dyDescent="0.2">
      <c r="A230" s="1" t="s">
        <v>20</v>
      </c>
      <c r="B230" s="1" t="s">
        <v>340</v>
      </c>
      <c r="C230" s="1" t="s">
        <v>449</v>
      </c>
      <c r="D230" s="2">
        <v>45823</v>
      </c>
    </row>
    <row r="231" spans="1:4" x14ac:dyDescent="0.2">
      <c r="A231" s="1" t="s">
        <v>8</v>
      </c>
      <c r="B231" s="1" t="s">
        <v>334</v>
      </c>
      <c r="C231" s="1" t="s">
        <v>472</v>
      </c>
      <c r="D231" s="2">
        <v>45823</v>
      </c>
    </row>
    <row r="232" spans="1:4" x14ac:dyDescent="0.2">
      <c r="A232" s="1" t="s">
        <v>23</v>
      </c>
      <c r="B232" s="1" t="s">
        <v>340</v>
      </c>
      <c r="C232" s="1" t="s">
        <v>479</v>
      </c>
      <c r="D232" s="2">
        <v>45823</v>
      </c>
    </row>
    <row r="233" spans="1:4" x14ac:dyDescent="0.2">
      <c r="A233" s="1" t="s">
        <v>31</v>
      </c>
      <c r="B233" s="1" t="s">
        <v>331</v>
      </c>
      <c r="C233" s="1" t="s">
        <v>507</v>
      </c>
      <c r="D233" s="2">
        <v>45823</v>
      </c>
    </row>
    <row r="234" spans="1:4" x14ac:dyDescent="0.2">
      <c r="A234" s="1" t="s">
        <v>34</v>
      </c>
      <c r="B234" s="1" t="s">
        <v>334</v>
      </c>
      <c r="C234" s="1" t="s">
        <v>512</v>
      </c>
      <c r="D234" s="2">
        <v>45823</v>
      </c>
    </row>
    <row r="235" spans="1:4" x14ac:dyDescent="0.2">
      <c r="A235" s="1" t="s">
        <v>37</v>
      </c>
      <c r="B235" s="1" t="s">
        <v>336</v>
      </c>
      <c r="C235" s="1" t="s">
        <v>519</v>
      </c>
      <c r="D235" s="2">
        <v>45823</v>
      </c>
    </row>
    <row r="236" spans="1:4" x14ac:dyDescent="0.2">
      <c r="A236" s="1" t="s">
        <v>25</v>
      </c>
      <c r="B236" s="1" t="s">
        <v>340</v>
      </c>
      <c r="C236" s="1" t="s">
        <v>524</v>
      </c>
      <c r="D236" s="2">
        <v>45823</v>
      </c>
    </row>
    <row r="237" spans="1:4" x14ac:dyDescent="0.2">
      <c r="A237" s="1" t="s">
        <v>59</v>
      </c>
      <c r="B237" s="1" t="s">
        <v>331</v>
      </c>
      <c r="C237" s="1" t="s">
        <v>528</v>
      </c>
      <c r="D237" s="2">
        <v>45823</v>
      </c>
    </row>
    <row r="238" spans="1:4" x14ac:dyDescent="0.2">
      <c r="A238" s="1" t="s">
        <v>59</v>
      </c>
      <c r="B238" s="1" t="s">
        <v>340</v>
      </c>
      <c r="C238" s="1" t="s">
        <v>563</v>
      </c>
      <c r="D238" s="2">
        <v>45823</v>
      </c>
    </row>
    <row r="239" spans="1:4" x14ac:dyDescent="0.2">
      <c r="A239" s="1" t="s">
        <v>37</v>
      </c>
      <c r="B239" s="1" t="s">
        <v>336</v>
      </c>
      <c r="C239" s="1" t="s">
        <v>569</v>
      </c>
      <c r="D239" s="2">
        <v>45823</v>
      </c>
    </row>
    <row r="240" spans="1:4" x14ac:dyDescent="0.2">
      <c r="A240" s="1" t="s">
        <v>31</v>
      </c>
      <c r="B240" s="1" t="s">
        <v>331</v>
      </c>
      <c r="C240" s="1" t="s">
        <v>587</v>
      </c>
      <c r="D240" s="2">
        <v>45823</v>
      </c>
    </row>
    <row r="241" spans="1:4" x14ac:dyDescent="0.2">
      <c r="A241" s="1" t="s">
        <v>17</v>
      </c>
      <c r="B241" s="1" t="s">
        <v>331</v>
      </c>
      <c r="C241" s="1" t="s">
        <v>588</v>
      </c>
      <c r="D241" s="2">
        <v>45823</v>
      </c>
    </row>
    <row r="242" spans="1:4" x14ac:dyDescent="0.2">
      <c r="A242" s="1" t="s">
        <v>31</v>
      </c>
      <c r="B242" s="1" t="s">
        <v>340</v>
      </c>
      <c r="C242" s="1" t="s">
        <v>613</v>
      </c>
      <c r="D242" s="2">
        <v>45823</v>
      </c>
    </row>
    <row r="243" spans="1:4" x14ac:dyDescent="0.2">
      <c r="A243" s="1" t="s">
        <v>17</v>
      </c>
      <c r="B243" s="1" t="s">
        <v>331</v>
      </c>
      <c r="C243" s="1" t="s">
        <v>668</v>
      </c>
      <c r="D243" s="2">
        <v>45823</v>
      </c>
    </row>
    <row r="244" spans="1:4" x14ac:dyDescent="0.2">
      <c r="A244" s="1" t="s">
        <v>34</v>
      </c>
      <c r="B244" s="1" t="s">
        <v>340</v>
      </c>
      <c r="C244" s="1" t="s">
        <v>711</v>
      </c>
      <c r="D244" s="2">
        <v>45823</v>
      </c>
    </row>
    <row r="245" spans="1:4" x14ac:dyDescent="0.2">
      <c r="A245" s="1" t="s">
        <v>37</v>
      </c>
      <c r="B245" s="1" t="s">
        <v>340</v>
      </c>
      <c r="C245" s="1" t="s">
        <v>712</v>
      </c>
      <c r="D245" s="2">
        <v>45823</v>
      </c>
    </row>
    <row r="246" spans="1:4" x14ac:dyDescent="0.2">
      <c r="A246" s="1" t="s">
        <v>34</v>
      </c>
      <c r="B246" s="1" t="s">
        <v>336</v>
      </c>
      <c r="C246" s="1" t="s">
        <v>753</v>
      </c>
      <c r="D246" s="2">
        <v>45823</v>
      </c>
    </row>
    <row r="247" spans="1:4" x14ac:dyDescent="0.2">
      <c r="A247" s="1" t="s">
        <v>59</v>
      </c>
      <c r="B247" s="1" t="s">
        <v>340</v>
      </c>
      <c r="C247" s="1" t="s">
        <v>796</v>
      </c>
      <c r="D247" s="2">
        <v>45823</v>
      </c>
    </row>
    <row r="248" spans="1:4" x14ac:dyDescent="0.2">
      <c r="A248" s="1" t="s">
        <v>17</v>
      </c>
      <c r="B248" s="1" t="s">
        <v>331</v>
      </c>
      <c r="C248" s="1" t="s">
        <v>332</v>
      </c>
      <c r="D248" s="2">
        <v>45824</v>
      </c>
    </row>
    <row r="249" spans="1:4" x14ac:dyDescent="0.2">
      <c r="A249" s="1" t="s">
        <v>37</v>
      </c>
      <c r="B249" s="1" t="s">
        <v>336</v>
      </c>
      <c r="C249" s="1" t="s">
        <v>348</v>
      </c>
      <c r="D249" s="2">
        <v>45824</v>
      </c>
    </row>
    <row r="250" spans="1:4" x14ac:dyDescent="0.2">
      <c r="A250" s="1" t="s">
        <v>37</v>
      </c>
      <c r="B250" s="1" t="s">
        <v>334</v>
      </c>
      <c r="C250" s="1" t="s">
        <v>405</v>
      </c>
      <c r="D250" s="2">
        <v>45824</v>
      </c>
    </row>
    <row r="251" spans="1:4" x14ac:dyDescent="0.2">
      <c r="A251" s="1" t="s">
        <v>25</v>
      </c>
      <c r="B251" s="1" t="s">
        <v>336</v>
      </c>
      <c r="C251" s="1" t="s">
        <v>423</v>
      </c>
      <c r="D251" s="2">
        <v>45824</v>
      </c>
    </row>
    <row r="252" spans="1:4" x14ac:dyDescent="0.2">
      <c r="A252" s="1" t="s">
        <v>20</v>
      </c>
      <c r="B252" s="1" t="s">
        <v>331</v>
      </c>
      <c r="C252" s="1" t="s">
        <v>480</v>
      </c>
      <c r="D252" s="2">
        <v>45824</v>
      </c>
    </row>
    <row r="253" spans="1:4" x14ac:dyDescent="0.2">
      <c r="A253" s="1" t="s">
        <v>17</v>
      </c>
      <c r="B253" s="1" t="s">
        <v>336</v>
      </c>
      <c r="C253" s="1" t="s">
        <v>484</v>
      </c>
      <c r="D253" s="2">
        <v>45824</v>
      </c>
    </row>
    <row r="254" spans="1:4" x14ac:dyDescent="0.2">
      <c r="A254" s="1" t="s">
        <v>20</v>
      </c>
      <c r="B254" s="1" t="s">
        <v>336</v>
      </c>
      <c r="C254" s="1" t="s">
        <v>500</v>
      </c>
      <c r="D254" s="2">
        <v>45824</v>
      </c>
    </row>
    <row r="255" spans="1:4" x14ac:dyDescent="0.2">
      <c r="A255" s="1" t="s">
        <v>17</v>
      </c>
      <c r="B255" s="1" t="s">
        <v>334</v>
      </c>
      <c r="C255" s="1" t="s">
        <v>534</v>
      </c>
      <c r="D255" s="2">
        <v>45824</v>
      </c>
    </row>
    <row r="256" spans="1:4" x14ac:dyDescent="0.2">
      <c r="A256" s="1" t="s">
        <v>8</v>
      </c>
      <c r="B256" s="1" t="s">
        <v>331</v>
      </c>
      <c r="C256" s="1" t="s">
        <v>584</v>
      </c>
      <c r="D256" s="2">
        <v>45824</v>
      </c>
    </row>
    <row r="257" spans="1:4" x14ac:dyDescent="0.2">
      <c r="A257" s="1" t="s">
        <v>20</v>
      </c>
      <c r="B257" s="1" t="s">
        <v>334</v>
      </c>
      <c r="C257" s="1" t="s">
        <v>593</v>
      </c>
      <c r="D257" s="2">
        <v>45824</v>
      </c>
    </row>
    <row r="258" spans="1:4" x14ac:dyDescent="0.2">
      <c r="A258" s="1" t="s">
        <v>17</v>
      </c>
      <c r="B258" s="1" t="s">
        <v>336</v>
      </c>
      <c r="C258" s="1" t="s">
        <v>609</v>
      </c>
      <c r="D258" s="2">
        <v>45824</v>
      </c>
    </row>
    <row r="259" spans="1:4" x14ac:dyDescent="0.2">
      <c r="A259" s="1" t="s">
        <v>31</v>
      </c>
      <c r="B259" s="1" t="s">
        <v>334</v>
      </c>
      <c r="C259" s="1" t="s">
        <v>661</v>
      </c>
      <c r="D259" s="2">
        <v>45824</v>
      </c>
    </row>
    <row r="260" spans="1:4" x14ac:dyDescent="0.2">
      <c r="A260" s="1" t="s">
        <v>25</v>
      </c>
      <c r="B260" s="1" t="s">
        <v>340</v>
      </c>
      <c r="C260" s="1" t="s">
        <v>759</v>
      </c>
      <c r="D260" s="2">
        <v>45824</v>
      </c>
    </row>
    <row r="261" spans="1:4" x14ac:dyDescent="0.2">
      <c r="A261" s="1" t="s">
        <v>8</v>
      </c>
      <c r="B261" s="1" t="s">
        <v>336</v>
      </c>
      <c r="C261" s="1" t="s">
        <v>801</v>
      </c>
      <c r="D261" s="2">
        <v>45824</v>
      </c>
    </row>
    <row r="262" spans="1:4" x14ac:dyDescent="0.2">
      <c r="A262" s="1" t="s">
        <v>37</v>
      </c>
      <c r="B262" s="1" t="s">
        <v>334</v>
      </c>
      <c r="C262" s="1" t="s">
        <v>368</v>
      </c>
      <c r="D262" s="2">
        <v>45825</v>
      </c>
    </row>
    <row r="263" spans="1:4" x14ac:dyDescent="0.2">
      <c r="A263" s="1" t="s">
        <v>8</v>
      </c>
      <c r="B263" s="1" t="s">
        <v>331</v>
      </c>
      <c r="C263" s="1" t="s">
        <v>392</v>
      </c>
      <c r="D263" s="2">
        <v>45825</v>
      </c>
    </row>
    <row r="264" spans="1:4" x14ac:dyDescent="0.2">
      <c r="A264" s="1" t="s">
        <v>17</v>
      </c>
      <c r="B264" s="1" t="s">
        <v>331</v>
      </c>
      <c r="C264" s="1" t="s">
        <v>456</v>
      </c>
      <c r="D264" s="2">
        <v>45825</v>
      </c>
    </row>
    <row r="265" spans="1:4" x14ac:dyDescent="0.2">
      <c r="A265" s="1" t="s">
        <v>17</v>
      </c>
      <c r="B265" s="1" t="s">
        <v>340</v>
      </c>
      <c r="C265" s="1" t="s">
        <v>465</v>
      </c>
      <c r="D265" s="2">
        <v>45825</v>
      </c>
    </row>
    <row r="266" spans="1:4" x14ac:dyDescent="0.2">
      <c r="A266" s="1" t="s">
        <v>37</v>
      </c>
      <c r="B266" s="1" t="s">
        <v>331</v>
      </c>
      <c r="C266" s="1" t="s">
        <v>475</v>
      </c>
      <c r="D266" s="2">
        <v>45825</v>
      </c>
    </row>
    <row r="267" spans="1:4" x14ac:dyDescent="0.2">
      <c r="A267" s="1" t="s">
        <v>8</v>
      </c>
      <c r="B267" s="1" t="s">
        <v>331</v>
      </c>
      <c r="C267" s="1" t="s">
        <v>488</v>
      </c>
      <c r="D267" s="2">
        <v>45825</v>
      </c>
    </row>
    <row r="268" spans="1:4" x14ac:dyDescent="0.2">
      <c r="A268" s="1" t="s">
        <v>34</v>
      </c>
      <c r="B268" s="1" t="s">
        <v>331</v>
      </c>
      <c r="C268" s="1" t="s">
        <v>516</v>
      </c>
      <c r="D268" s="2">
        <v>45825</v>
      </c>
    </row>
    <row r="269" spans="1:4" x14ac:dyDescent="0.2">
      <c r="A269" s="1" t="s">
        <v>31</v>
      </c>
      <c r="B269" s="1" t="s">
        <v>331</v>
      </c>
      <c r="C269" s="1" t="s">
        <v>600</v>
      </c>
      <c r="D269" s="2">
        <v>45825</v>
      </c>
    </row>
    <row r="270" spans="1:4" x14ac:dyDescent="0.2">
      <c r="A270" s="1" t="s">
        <v>20</v>
      </c>
      <c r="B270" s="1" t="s">
        <v>331</v>
      </c>
      <c r="C270" s="1" t="s">
        <v>615</v>
      </c>
      <c r="D270" s="2">
        <v>45825</v>
      </c>
    </row>
    <row r="271" spans="1:4" x14ac:dyDescent="0.2">
      <c r="A271" s="1" t="s">
        <v>34</v>
      </c>
      <c r="B271" s="1" t="s">
        <v>331</v>
      </c>
      <c r="C271" s="1" t="s">
        <v>627</v>
      </c>
      <c r="D271" s="2">
        <v>45825</v>
      </c>
    </row>
    <row r="272" spans="1:4" x14ac:dyDescent="0.2">
      <c r="A272" s="1" t="s">
        <v>23</v>
      </c>
      <c r="B272" s="1" t="s">
        <v>336</v>
      </c>
      <c r="C272" s="1" t="s">
        <v>637</v>
      </c>
      <c r="D272" s="2">
        <v>45825</v>
      </c>
    </row>
    <row r="273" spans="1:4" x14ac:dyDescent="0.2">
      <c r="A273" s="1" t="s">
        <v>34</v>
      </c>
      <c r="B273" s="1" t="s">
        <v>334</v>
      </c>
      <c r="C273" s="1" t="s">
        <v>643</v>
      </c>
      <c r="D273" s="2">
        <v>45825</v>
      </c>
    </row>
    <row r="274" spans="1:4" x14ac:dyDescent="0.2">
      <c r="A274" s="1" t="s">
        <v>8</v>
      </c>
      <c r="B274" s="1" t="s">
        <v>334</v>
      </c>
      <c r="C274" s="1" t="s">
        <v>651</v>
      </c>
      <c r="D274" s="2">
        <v>45825</v>
      </c>
    </row>
    <row r="275" spans="1:4" x14ac:dyDescent="0.2">
      <c r="A275" s="1" t="s">
        <v>59</v>
      </c>
      <c r="B275" s="1" t="s">
        <v>334</v>
      </c>
      <c r="C275" s="1" t="s">
        <v>678</v>
      </c>
      <c r="D275" s="2">
        <v>45825</v>
      </c>
    </row>
    <row r="276" spans="1:4" x14ac:dyDescent="0.2">
      <c r="A276" s="1" t="s">
        <v>20</v>
      </c>
      <c r="B276" s="1" t="s">
        <v>336</v>
      </c>
      <c r="C276" s="1" t="s">
        <v>703</v>
      </c>
      <c r="D276" s="2">
        <v>45825</v>
      </c>
    </row>
    <row r="277" spans="1:4" x14ac:dyDescent="0.2">
      <c r="A277" s="1" t="s">
        <v>25</v>
      </c>
      <c r="B277" s="1" t="s">
        <v>336</v>
      </c>
      <c r="C277" s="1" t="s">
        <v>761</v>
      </c>
      <c r="D277" s="2">
        <v>45825</v>
      </c>
    </row>
    <row r="278" spans="1:4" x14ac:dyDescent="0.2">
      <c r="A278" s="1" t="s">
        <v>23</v>
      </c>
      <c r="B278" s="1" t="s">
        <v>336</v>
      </c>
      <c r="C278" s="1" t="s">
        <v>772</v>
      </c>
      <c r="D278" s="2">
        <v>45825</v>
      </c>
    </row>
    <row r="279" spans="1:4" x14ac:dyDescent="0.2">
      <c r="A279" s="1" t="s">
        <v>25</v>
      </c>
      <c r="B279" s="1" t="s">
        <v>340</v>
      </c>
      <c r="C279" s="1" t="s">
        <v>410</v>
      </c>
      <c r="D279" s="2">
        <v>45826</v>
      </c>
    </row>
    <row r="280" spans="1:4" x14ac:dyDescent="0.2">
      <c r="A280" s="1" t="s">
        <v>31</v>
      </c>
      <c r="B280" s="1" t="s">
        <v>340</v>
      </c>
      <c r="C280" s="1" t="s">
        <v>467</v>
      </c>
      <c r="D280" s="2">
        <v>45826</v>
      </c>
    </row>
    <row r="281" spans="1:4" x14ac:dyDescent="0.2">
      <c r="A281" s="1" t="s">
        <v>8</v>
      </c>
      <c r="B281" s="1" t="s">
        <v>336</v>
      </c>
      <c r="C281" s="1" t="s">
        <v>469</v>
      </c>
      <c r="D281" s="2">
        <v>45826</v>
      </c>
    </row>
    <row r="282" spans="1:4" x14ac:dyDescent="0.2">
      <c r="A282" s="1" t="s">
        <v>31</v>
      </c>
      <c r="B282" s="1" t="s">
        <v>340</v>
      </c>
      <c r="C282" s="1" t="s">
        <v>497</v>
      </c>
      <c r="D282" s="2">
        <v>45826</v>
      </c>
    </row>
    <row r="283" spans="1:4" x14ac:dyDescent="0.2">
      <c r="A283" s="1" t="s">
        <v>25</v>
      </c>
      <c r="B283" s="1" t="s">
        <v>334</v>
      </c>
      <c r="C283" s="1" t="s">
        <v>591</v>
      </c>
      <c r="D283" s="2">
        <v>45826</v>
      </c>
    </row>
    <row r="284" spans="1:4" x14ac:dyDescent="0.2">
      <c r="A284" s="1" t="s">
        <v>8</v>
      </c>
      <c r="B284" s="1" t="s">
        <v>340</v>
      </c>
      <c r="C284" s="1" t="s">
        <v>599</v>
      </c>
      <c r="D284" s="2">
        <v>45826</v>
      </c>
    </row>
    <row r="285" spans="1:4" x14ac:dyDescent="0.2">
      <c r="A285" s="1" t="s">
        <v>31</v>
      </c>
      <c r="B285" s="1" t="s">
        <v>340</v>
      </c>
      <c r="C285" s="1" t="s">
        <v>662</v>
      </c>
      <c r="D285" s="2">
        <v>45826</v>
      </c>
    </row>
    <row r="286" spans="1:4" x14ac:dyDescent="0.2">
      <c r="A286" s="1" t="s">
        <v>8</v>
      </c>
      <c r="B286" s="1" t="s">
        <v>336</v>
      </c>
      <c r="C286" s="1" t="s">
        <v>762</v>
      </c>
      <c r="D286" s="2">
        <v>45826</v>
      </c>
    </row>
    <row r="287" spans="1:4" x14ac:dyDescent="0.2">
      <c r="A287" s="1" t="s">
        <v>8</v>
      </c>
      <c r="B287" s="1" t="s">
        <v>334</v>
      </c>
      <c r="C287" s="1" t="s">
        <v>769</v>
      </c>
      <c r="D287" s="2">
        <v>45826</v>
      </c>
    </row>
    <row r="288" spans="1:4" x14ac:dyDescent="0.2">
      <c r="A288" s="1" t="s">
        <v>17</v>
      </c>
      <c r="B288" s="1" t="s">
        <v>336</v>
      </c>
      <c r="C288" s="1" t="s">
        <v>779</v>
      </c>
      <c r="D288" s="2">
        <v>45826</v>
      </c>
    </row>
    <row r="289" spans="1:4" x14ac:dyDescent="0.2">
      <c r="A289" s="1" t="s">
        <v>17</v>
      </c>
      <c r="B289" s="1" t="s">
        <v>334</v>
      </c>
      <c r="C289" s="1" t="s">
        <v>787</v>
      </c>
      <c r="D289" s="2">
        <v>45826</v>
      </c>
    </row>
    <row r="290" spans="1:4" x14ac:dyDescent="0.2">
      <c r="A290" s="1" t="s">
        <v>17</v>
      </c>
      <c r="B290" s="1" t="s">
        <v>340</v>
      </c>
      <c r="C290" s="1" t="s">
        <v>791</v>
      </c>
      <c r="D290" s="2">
        <v>45826</v>
      </c>
    </row>
    <row r="291" spans="1:4" x14ac:dyDescent="0.2">
      <c r="A291" s="1" t="s">
        <v>34</v>
      </c>
      <c r="B291" s="1" t="s">
        <v>340</v>
      </c>
      <c r="C291" s="1" t="s">
        <v>811</v>
      </c>
      <c r="D291" s="2">
        <v>45826</v>
      </c>
    </row>
    <row r="292" spans="1:4" x14ac:dyDescent="0.2">
      <c r="A292" s="1" t="s">
        <v>25</v>
      </c>
      <c r="B292" s="1" t="s">
        <v>334</v>
      </c>
      <c r="C292" s="1" t="s">
        <v>393</v>
      </c>
      <c r="D292" s="2">
        <v>45827</v>
      </c>
    </row>
    <row r="293" spans="1:4" x14ac:dyDescent="0.2">
      <c r="A293" s="1" t="s">
        <v>23</v>
      </c>
      <c r="B293" s="1" t="s">
        <v>331</v>
      </c>
      <c r="C293" s="1" t="s">
        <v>431</v>
      </c>
      <c r="D293" s="2">
        <v>45827</v>
      </c>
    </row>
    <row r="294" spans="1:4" x14ac:dyDescent="0.2">
      <c r="A294" s="1" t="s">
        <v>37</v>
      </c>
      <c r="B294" s="1" t="s">
        <v>340</v>
      </c>
      <c r="C294" s="1" t="s">
        <v>442</v>
      </c>
      <c r="D294" s="2">
        <v>45827</v>
      </c>
    </row>
    <row r="295" spans="1:4" x14ac:dyDescent="0.2">
      <c r="A295" s="1" t="s">
        <v>8</v>
      </c>
      <c r="B295" s="1" t="s">
        <v>336</v>
      </c>
      <c r="C295" s="1" t="s">
        <v>452</v>
      </c>
      <c r="D295" s="2">
        <v>45827</v>
      </c>
    </row>
    <row r="296" spans="1:4" x14ac:dyDescent="0.2">
      <c r="A296" s="1" t="s">
        <v>34</v>
      </c>
      <c r="B296" s="1" t="s">
        <v>334</v>
      </c>
      <c r="C296" s="1" t="s">
        <v>494</v>
      </c>
      <c r="D296" s="2">
        <v>45827</v>
      </c>
    </row>
    <row r="297" spans="1:4" x14ac:dyDescent="0.2">
      <c r="A297" s="1" t="s">
        <v>25</v>
      </c>
      <c r="B297" s="1" t="s">
        <v>334</v>
      </c>
      <c r="C297" s="1" t="s">
        <v>503</v>
      </c>
      <c r="D297" s="2">
        <v>45827</v>
      </c>
    </row>
    <row r="298" spans="1:4" x14ac:dyDescent="0.2">
      <c r="A298" s="1" t="s">
        <v>31</v>
      </c>
      <c r="B298" s="1" t="s">
        <v>331</v>
      </c>
      <c r="C298" s="1" t="s">
        <v>521</v>
      </c>
      <c r="D298" s="2">
        <v>45827</v>
      </c>
    </row>
    <row r="299" spans="1:4" x14ac:dyDescent="0.2">
      <c r="A299" s="1" t="s">
        <v>20</v>
      </c>
      <c r="B299" s="1" t="s">
        <v>340</v>
      </c>
      <c r="C299" s="1" t="s">
        <v>541</v>
      </c>
      <c r="D299" s="2">
        <v>45827</v>
      </c>
    </row>
    <row r="300" spans="1:4" x14ac:dyDescent="0.2">
      <c r="A300" s="1" t="s">
        <v>17</v>
      </c>
      <c r="B300" s="1" t="s">
        <v>331</v>
      </c>
      <c r="C300" s="1" t="s">
        <v>544</v>
      </c>
      <c r="D300" s="2">
        <v>45827</v>
      </c>
    </row>
    <row r="301" spans="1:4" x14ac:dyDescent="0.2">
      <c r="A301" s="1" t="s">
        <v>23</v>
      </c>
      <c r="B301" s="1" t="s">
        <v>336</v>
      </c>
      <c r="C301" s="1" t="s">
        <v>589</v>
      </c>
      <c r="D301" s="2">
        <v>45827</v>
      </c>
    </row>
    <row r="302" spans="1:4" x14ac:dyDescent="0.2">
      <c r="A302" s="1" t="s">
        <v>59</v>
      </c>
      <c r="B302" s="1" t="s">
        <v>340</v>
      </c>
      <c r="C302" s="1" t="s">
        <v>602</v>
      </c>
      <c r="D302" s="2">
        <v>45827</v>
      </c>
    </row>
    <row r="303" spans="1:4" x14ac:dyDescent="0.2">
      <c r="A303" s="1" t="s">
        <v>37</v>
      </c>
      <c r="B303" s="1" t="s">
        <v>336</v>
      </c>
      <c r="C303" s="1" t="s">
        <v>622</v>
      </c>
      <c r="D303" s="2">
        <v>45827</v>
      </c>
    </row>
    <row r="304" spans="1:4" x14ac:dyDescent="0.2">
      <c r="A304" s="1" t="s">
        <v>34</v>
      </c>
      <c r="B304" s="1" t="s">
        <v>331</v>
      </c>
      <c r="C304" s="1" t="s">
        <v>654</v>
      </c>
      <c r="D304" s="2">
        <v>45827</v>
      </c>
    </row>
    <row r="305" spans="1:4" x14ac:dyDescent="0.2">
      <c r="A305" s="1" t="s">
        <v>8</v>
      </c>
      <c r="B305" s="1" t="s">
        <v>331</v>
      </c>
      <c r="C305" s="1" t="s">
        <v>345</v>
      </c>
      <c r="D305" s="2">
        <v>45828</v>
      </c>
    </row>
    <row r="306" spans="1:4" x14ac:dyDescent="0.2">
      <c r="A306" s="1" t="s">
        <v>31</v>
      </c>
      <c r="B306" s="1" t="s">
        <v>340</v>
      </c>
      <c r="C306" s="1" t="s">
        <v>367</v>
      </c>
      <c r="D306" s="2">
        <v>45828</v>
      </c>
    </row>
    <row r="307" spans="1:4" x14ac:dyDescent="0.2">
      <c r="A307" s="1" t="s">
        <v>25</v>
      </c>
      <c r="B307" s="1" t="s">
        <v>334</v>
      </c>
      <c r="C307" s="1" t="s">
        <v>415</v>
      </c>
      <c r="D307" s="2">
        <v>45828</v>
      </c>
    </row>
    <row r="308" spans="1:4" x14ac:dyDescent="0.2">
      <c r="A308" s="1" t="s">
        <v>59</v>
      </c>
      <c r="B308" s="1" t="s">
        <v>340</v>
      </c>
      <c r="C308" s="1" t="s">
        <v>537</v>
      </c>
      <c r="D308" s="2">
        <v>45828</v>
      </c>
    </row>
    <row r="309" spans="1:4" x14ac:dyDescent="0.2">
      <c r="A309" s="1" t="s">
        <v>8</v>
      </c>
      <c r="B309" s="1" t="s">
        <v>340</v>
      </c>
      <c r="C309" s="1" t="s">
        <v>573</v>
      </c>
      <c r="D309" s="2">
        <v>45828</v>
      </c>
    </row>
    <row r="310" spans="1:4" x14ac:dyDescent="0.2">
      <c r="A310" s="1" t="s">
        <v>23</v>
      </c>
      <c r="B310" s="1" t="s">
        <v>334</v>
      </c>
      <c r="C310" s="1" t="s">
        <v>606</v>
      </c>
      <c r="D310" s="2">
        <v>45828</v>
      </c>
    </row>
    <row r="311" spans="1:4" x14ac:dyDescent="0.2">
      <c r="A311" s="1" t="s">
        <v>8</v>
      </c>
      <c r="B311" s="1" t="s">
        <v>334</v>
      </c>
      <c r="C311" s="1" t="s">
        <v>680</v>
      </c>
      <c r="D311" s="2">
        <v>45828</v>
      </c>
    </row>
    <row r="312" spans="1:4" x14ac:dyDescent="0.2">
      <c r="A312" s="1" t="s">
        <v>37</v>
      </c>
      <c r="B312" s="1" t="s">
        <v>334</v>
      </c>
      <c r="C312" s="1" t="s">
        <v>700</v>
      </c>
      <c r="D312" s="2">
        <v>45828</v>
      </c>
    </row>
    <row r="313" spans="1:4" x14ac:dyDescent="0.2">
      <c r="A313" s="1" t="s">
        <v>31</v>
      </c>
      <c r="B313" s="1" t="s">
        <v>340</v>
      </c>
      <c r="C313" s="1" t="s">
        <v>722</v>
      </c>
      <c r="D313" s="2">
        <v>45828</v>
      </c>
    </row>
    <row r="314" spans="1:4" x14ac:dyDescent="0.2">
      <c r="A314" s="1" t="s">
        <v>25</v>
      </c>
      <c r="B314" s="1" t="s">
        <v>334</v>
      </c>
      <c r="C314" s="1" t="s">
        <v>732</v>
      </c>
      <c r="D314" s="2">
        <v>45828</v>
      </c>
    </row>
    <row r="315" spans="1:4" x14ac:dyDescent="0.2">
      <c r="A315" s="1" t="s">
        <v>25</v>
      </c>
      <c r="B315" s="1" t="s">
        <v>334</v>
      </c>
      <c r="C315" s="1" t="s">
        <v>746</v>
      </c>
      <c r="D315" s="2">
        <v>45828</v>
      </c>
    </row>
    <row r="316" spans="1:4" x14ac:dyDescent="0.2">
      <c r="A316" s="1" t="s">
        <v>34</v>
      </c>
      <c r="B316" s="1" t="s">
        <v>340</v>
      </c>
      <c r="C316" s="1" t="s">
        <v>800</v>
      </c>
      <c r="D316" s="2">
        <v>45828</v>
      </c>
    </row>
    <row r="317" spans="1:4" x14ac:dyDescent="0.2">
      <c r="A317" s="1" t="s">
        <v>34</v>
      </c>
      <c r="B317" s="1" t="s">
        <v>331</v>
      </c>
      <c r="C317" s="1" t="s">
        <v>371</v>
      </c>
      <c r="D317" s="2">
        <v>45829</v>
      </c>
    </row>
    <row r="318" spans="1:4" x14ac:dyDescent="0.2">
      <c r="A318" s="1" t="s">
        <v>31</v>
      </c>
      <c r="B318" s="1" t="s">
        <v>336</v>
      </c>
      <c r="C318" s="1" t="s">
        <v>386</v>
      </c>
      <c r="D318" s="2">
        <v>45829</v>
      </c>
    </row>
    <row r="319" spans="1:4" x14ac:dyDescent="0.2">
      <c r="A319" s="1" t="s">
        <v>17</v>
      </c>
      <c r="B319" s="1" t="s">
        <v>340</v>
      </c>
      <c r="C319" s="1" t="s">
        <v>433</v>
      </c>
      <c r="D319" s="2">
        <v>45829</v>
      </c>
    </row>
    <row r="320" spans="1:4" x14ac:dyDescent="0.2">
      <c r="A320" s="1" t="s">
        <v>59</v>
      </c>
      <c r="B320" s="1" t="s">
        <v>340</v>
      </c>
      <c r="C320" s="1" t="s">
        <v>439</v>
      </c>
      <c r="D320" s="2">
        <v>45829</v>
      </c>
    </row>
    <row r="321" spans="1:4" x14ac:dyDescent="0.2">
      <c r="A321" s="1" t="s">
        <v>23</v>
      </c>
      <c r="B321" s="1" t="s">
        <v>336</v>
      </c>
      <c r="C321" s="1" t="s">
        <v>440</v>
      </c>
      <c r="D321" s="2">
        <v>45829</v>
      </c>
    </row>
    <row r="322" spans="1:4" x14ac:dyDescent="0.2">
      <c r="A322" s="1" t="s">
        <v>59</v>
      </c>
      <c r="B322" s="1" t="s">
        <v>336</v>
      </c>
      <c r="C322" s="1" t="s">
        <v>454</v>
      </c>
      <c r="D322" s="2">
        <v>45829</v>
      </c>
    </row>
    <row r="323" spans="1:4" x14ac:dyDescent="0.2">
      <c r="A323" s="1" t="s">
        <v>8</v>
      </c>
      <c r="B323" s="1" t="s">
        <v>336</v>
      </c>
      <c r="C323" s="1" t="s">
        <v>459</v>
      </c>
      <c r="D323" s="2">
        <v>45829</v>
      </c>
    </row>
    <row r="324" spans="1:4" x14ac:dyDescent="0.2">
      <c r="A324" s="1" t="s">
        <v>59</v>
      </c>
      <c r="B324" s="1" t="s">
        <v>340</v>
      </c>
      <c r="C324" s="1" t="s">
        <v>529</v>
      </c>
      <c r="D324" s="2">
        <v>45829</v>
      </c>
    </row>
    <row r="325" spans="1:4" x14ac:dyDescent="0.2">
      <c r="A325" s="1" t="s">
        <v>37</v>
      </c>
      <c r="B325" s="1" t="s">
        <v>340</v>
      </c>
      <c r="C325" s="1" t="s">
        <v>574</v>
      </c>
      <c r="D325" s="2">
        <v>45829</v>
      </c>
    </row>
    <row r="326" spans="1:4" x14ac:dyDescent="0.2">
      <c r="A326" s="1" t="s">
        <v>17</v>
      </c>
      <c r="B326" s="1" t="s">
        <v>336</v>
      </c>
      <c r="C326" s="1" t="s">
        <v>582</v>
      </c>
      <c r="D326" s="2">
        <v>45829</v>
      </c>
    </row>
    <row r="327" spans="1:4" x14ac:dyDescent="0.2">
      <c r="A327" s="1" t="s">
        <v>37</v>
      </c>
      <c r="B327" s="1" t="s">
        <v>331</v>
      </c>
      <c r="C327" s="1" t="s">
        <v>585</v>
      </c>
      <c r="D327" s="2">
        <v>45829</v>
      </c>
    </row>
    <row r="328" spans="1:4" x14ac:dyDescent="0.2">
      <c r="A328" s="1" t="s">
        <v>25</v>
      </c>
      <c r="B328" s="1" t="s">
        <v>336</v>
      </c>
      <c r="C328" s="1" t="s">
        <v>639</v>
      </c>
      <c r="D328" s="2">
        <v>45829</v>
      </c>
    </row>
    <row r="329" spans="1:4" x14ac:dyDescent="0.2">
      <c r="A329" s="1" t="s">
        <v>23</v>
      </c>
      <c r="B329" s="1" t="s">
        <v>336</v>
      </c>
      <c r="C329" s="1" t="s">
        <v>646</v>
      </c>
      <c r="D329" s="2">
        <v>45829</v>
      </c>
    </row>
    <row r="330" spans="1:4" x14ac:dyDescent="0.2">
      <c r="A330" s="1" t="s">
        <v>8</v>
      </c>
      <c r="B330" s="1" t="s">
        <v>336</v>
      </c>
      <c r="C330" s="1" t="s">
        <v>660</v>
      </c>
      <c r="D330" s="2">
        <v>45829</v>
      </c>
    </row>
    <row r="331" spans="1:4" x14ac:dyDescent="0.2">
      <c r="A331" s="1" t="s">
        <v>31</v>
      </c>
      <c r="B331" s="1" t="s">
        <v>334</v>
      </c>
      <c r="C331" s="1" t="s">
        <v>697</v>
      </c>
      <c r="D331" s="2">
        <v>45829</v>
      </c>
    </row>
    <row r="332" spans="1:4" x14ac:dyDescent="0.2">
      <c r="A332" s="1" t="s">
        <v>23</v>
      </c>
      <c r="B332" s="1" t="s">
        <v>340</v>
      </c>
      <c r="C332" s="1" t="s">
        <v>364</v>
      </c>
      <c r="D332" s="2">
        <v>45830</v>
      </c>
    </row>
    <row r="333" spans="1:4" x14ac:dyDescent="0.2">
      <c r="A333" s="1" t="s">
        <v>31</v>
      </c>
      <c r="B333" s="1" t="s">
        <v>334</v>
      </c>
      <c r="C333" s="1" t="s">
        <v>364</v>
      </c>
      <c r="D333" s="2">
        <v>45830</v>
      </c>
    </row>
    <row r="334" spans="1:4" x14ac:dyDescent="0.2">
      <c r="A334" s="1" t="s">
        <v>31</v>
      </c>
      <c r="B334" s="1" t="s">
        <v>331</v>
      </c>
      <c r="C334" s="1" t="s">
        <v>462</v>
      </c>
      <c r="D334" s="2">
        <v>45830</v>
      </c>
    </row>
    <row r="335" spans="1:4" x14ac:dyDescent="0.2">
      <c r="A335" s="1" t="s">
        <v>20</v>
      </c>
      <c r="B335" s="1" t="s">
        <v>331</v>
      </c>
      <c r="C335" s="1" t="s">
        <v>556</v>
      </c>
      <c r="D335" s="2">
        <v>45830</v>
      </c>
    </row>
    <row r="336" spans="1:4" x14ac:dyDescent="0.2">
      <c r="A336" s="1" t="s">
        <v>37</v>
      </c>
      <c r="B336" s="1" t="s">
        <v>334</v>
      </c>
      <c r="C336" s="1" t="s">
        <v>621</v>
      </c>
      <c r="D336" s="2">
        <v>45830</v>
      </c>
    </row>
    <row r="337" spans="1:4" x14ac:dyDescent="0.2">
      <c r="A337" s="1" t="s">
        <v>34</v>
      </c>
      <c r="B337" s="1" t="s">
        <v>336</v>
      </c>
      <c r="C337" s="1" t="s">
        <v>626</v>
      </c>
      <c r="D337" s="2">
        <v>45830</v>
      </c>
    </row>
    <row r="338" spans="1:4" x14ac:dyDescent="0.2">
      <c r="A338" s="1" t="s">
        <v>34</v>
      </c>
      <c r="B338" s="1" t="s">
        <v>334</v>
      </c>
      <c r="C338" s="1" t="s">
        <v>632</v>
      </c>
      <c r="D338" s="2">
        <v>45830</v>
      </c>
    </row>
    <row r="339" spans="1:4" x14ac:dyDescent="0.2">
      <c r="A339" s="1" t="s">
        <v>34</v>
      </c>
      <c r="B339" s="1" t="s">
        <v>340</v>
      </c>
      <c r="C339" s="1" t="s">
        <v>638</v>
      </c>
      <c r="D339" s="2">
        <v>45830</v>
      </c>
    </row>
    <row r="340" spans="1:4" x14ac:dyDescent="0.2">
      <c r="A340" s="1" t="s">
        <v>25</v>
      </c>
      <c r="B340" s="1" t="s">
        <v>336</v>
      </c>
      <c r="C340" s="1" t="s">
        <v>664</v>
      </c>
      <c r="D340" s="2">
        <v>45830</v>
      </c>
    </row>
    <row r="341" spans="1:4" x14ac:dyDescent="0.2">
      <c r="A341" s="1" t="s">
        <v>20</v>
      </c>
      <c r="B341" s="1" t="s">
        <v>340</v>
      </c>
      <c r="C341" s="1" t="s">
        <v>673</v>
      </c>
      <c r="D341" s="2">
        <v>45830</v>
      </c>
    </row>
    <row r="342" spans="1:4" x14ac:dyDescent="0.2">
      <c r="A342" s="1" t="s">
        <v>17</v>
      </c>
      <c r="B342" s="1" t="s">
        <v>340</v>
      </c>
      <c r="C342" s="1" t="s">
        <v>692</v>
      </c>
      <c r="D342" s="2">
        <v>45830</v>
      </c>
    </row>
    <row r="343" spans="1:4" x14ac:dyDescent="0.2">
      <c r="A343" s="1" t="s">
        <v>20</v>
      </c>
      <c r="B343" s="1" t="s">
        <v>340</v>
      </c>
      <c r="C343" s="1" t="s">
        <v>704</v>
      </c>
      <c r="D343" s="2">
        <v>45830</v>
      </c>
    </row>
    <row r="344" spans="1:4" x14ac:dyDescent="0.2">
      <c r="A344" s="1" t="s">
        <v>34</v>
      </c>
      <c r="B344" s="1" t="s">
        <v>334</v>
      </c>
      <c r="C344" s="1" t="s">
        <v>705</v>
      </c>
      <c r="D344" s="2">
        <v>45830</v>
      </c>
    </row>
    <row r="345" spans="1:4" x14ac:dyDescent="0.2">
      <c r="A345" s="1" t="s">
        <v>59</v>
      </c>
      <c r="B345" s="1" t="s">
        <v>340</v>
      </c>
      <c r="C345" s="1" t="s">
        <v>731</v>
      </c>
      <c r="D345" s="2">
        <v>45830</v>
      </c>
    </row>
    <row r="346" spans="1:4" x14ac:dyDescent="0.2">
      <c r="A346" s="1" t="s">
        <v>25</v>
      </c>
      <c r="B346" s="1" t="s">
        <v>334</v>
      </c>
      <c r="C346" s="1" t="s">
        <v>739</v>
      </c>
      <c r="D346" s="2">
        <v>45830</v>
      </c>
    </row>
    <row r="347" spans="1:4" x14ac:dyDescent="0.2">
      <c r="A347" s="1" t="s">
        <v>23</v>
      </c>
      <c r="B347" s="1" t="s">
        <v>336</v>
      </c>
      <c r="C347" s="1" t="s">
        <v>743</v>
      </c>
      <c r="D347" s="2">
        <v>45830</v>
      </c>
    </row>
    <row r="348" spans="1:4" x14ac:dyDescent="0.2">
      <c r="A348" s="1" t="s">
        <v>25</v>
      </c>
      <c r="B348" s="1" t="s">
        <v>340</v>
      </c>
      <c r="C348" s="1" t="s">
        <v>782</v>
      </c>
      <c r="D348" s="2">
        <v>45830</v>
      </c>
    </row>
    <row r="349" spans="1:4" x14ac:dyDescent="0.2">
      <c r="A349" s="1" t="s">
        <v>20</v>
      </c>
      <c r="B349" s="1" t="s">
        <v>340</v>
      </c>
      <c r="C349" s="1" t="s">
        <v>797</v>
      </c>
      <c r="D349" s="2">
        <v>45830</v>
      </c>
    </row>
    <row r="350" spans="1:4" x14ac:dyDescent="0.2">
      <c r="A350" s="1" t="s">
        <v>23</v>
      </c>
      <c r="B350" s="1" t="s">
        <v>336</v>
      </c>
      <c r="C350" s="1" t="s">
        <v>338</v>
      </c>
      <c r="D350" s="2">
        <v>45831</v>
      </c>
    </row>
    <row r="351" spans="1:4" x14ac:dyDescent="0.2">
      <c r="A351" s="1" t="s">
        <v>31</v>
      </c>
      <c r="B351" s="1" t="s">
        <v>340</v>
      </c>
      <c r="C351" s="1" t="s">
        <v>369</v>
      </c>
      <c r="D351" s="2">
        <v>45831</v>
      </c>
    </row>
    <row r="352" spans="1:4" x14ac:dyDescent="0.2">
      <c r="A352" s="1" t="s">
        <v>59</v>
      </c>
      <c r="B352" s="1" t="s">
        <v>334</v>
      </c>
      <c r="C352" s="1" t="s">
        <v>400</v>
      </c>
      <c r="D352" s="2">
        <v>45831</v>
      </c>
    </row>
    <row r="353" spans="1:4" x14ac:dyDescent="0.2">
      <c r="A353" s="1" t="s">
        <v>20</v>
      </c>
      <c r="B353" s="1" t="s">
        <v>336</v>
      </c>
      <c r="C353" s="1" t="s">
        <v>418</v>
      </c>
      <c r="D353" s="2">
        <v>45831</v>
      </c>
    </row>
    <row r="354" spans="1:4" x14ac:dyDescent="0.2">
      <c r="A354" s="1" t="s">
        <v>25</v>
      </c>
      <c r="B354" s="1" t="s">
        <v>340</v>
      </c>
      <c r="C354" s="1" t="s">
        <v>444</v>
      </c>
      <c r="D354" s="2">
        <v>45831</v>
      </c>
    </row>
    <row r="355" spans="1:4" x14ac:dyDescent="0.2">
      <c r="A355" s="1" t="s">
        <v>23</v>
      </c>
      <c r="B355" s="1" t="s">
        <v>334</v>
      </c>
      <c r="C355" s="1" t="s">
        <v>466</v>
      </c>
      <c r="D355" s="2">
        <v>45831</v>
      </c>
    </row>
    <row r="356" spans="1:4" x14ac:dyDescent="0.2">
      <c r="A356" s="1" t="s">
        <v>25</v>
      </c>
      <c r="B356" s="1" t="s">
        <v>336</v>
      </c>
      <c r="C356" s="1" t="s">
        <v>515</v>
      </c>
      <c r="D356" s="2">
        <v>45831</v>
      </c>
    </row>
    <row r="357" spans="1:4" x14ac:dyDescent="0.2">
      <c r="A357" s="1" t="s">
        <v>34</v>
      </c>
      <c r="B357" s="1" t="s">
        <v>336</v>
      </c>
      <c r="C357" s="1" t="s">
        <v>549</v>
      </c>
      <c r="D357" s="2">
        <v>45831</v>
      </c>
    </row>
    <row r="358" spans="1:4" x14ac:dyDescent="0.2">
      <c r="A358" s="1" t="s">
        <v>59</v>
      </c>
      <c r="B358" s="1" t="s">
        <v>340</v>
      </c>
      <c r="C358" s="1" t="s">
        <v>616</v>
      </c>
      <c r="D358" s="2">
        <v>45831</v>
      </c>
    </row>
    <row r="359" spans="1:4" x14ac:dyDescent="0.2">
      <c r="A359" s="1" t="s">
        <v>37</v>
      </c>
      <c r="B359" s="1" t="s">
        <v>340</v>
      </c>
      <c r="C359" s="1" t="s">
        <v>619</v>
      </c>
      <c r="D359" s="2">
        <v>45831</v>
      </c>
    </row>
    <row r="360" spans="1:4" x14ac:dyDescent="0.2">
      <c r="A360" s="1" t="s">
        <v>17</v>
      </c>
      <c r="B360" s="1" t="s">
        <v>336</v>
      </c>
      <c r="C360" s="1" t="s">
        <v>665</v>
      </c>
      <c r="D360" s="2">
        <v>45831</v>
      </c>
    </row>
    <row r="361" spans="1:4" x14ac:dyDescent="0.2">
      <c r="A361" s="1" t="s">
        <v>8</v>
      </c>
      <c r="B361" s="1" t="s">
        <v>340</v>
      </c>
      <c r="C361" s="1" t="s">
        <v>674</v>
      </c>
      <c r="D361" s="2">
        <v>45831</v>
      </c>
    </row>
    <row r="362" spans="1:4" x14ac:dyDescent="0.2">
      <c r="A362" s="1" t="s">
        <v>8</v>
      </c>
      <c r="B362" s="1" t="s">
        <v>331</v>
      </c>
      <c r="C362" s="1" t="s">
        <v>676</v>
      </c>
      <c r="D362" s="2">
        <v>45831</v>
      </c>
    </row>
    <row r="363" spans="1:4" x14ac:dyDescent="0.2">
      <c r="A363" s="1" t="s">
        <v>17</v>
      </c>
      <c r="B363" s="1" t="s">
        <v>334</v>
      </c>
      <c r="C363" s="1" t="s">
        <v>683</v>
      </c>
      <c r="D363" s="2">
        <v>45831</v>
      </c>
    </row>
    <row r="364" spans="1:4" x14ac:dyDescent="0.2">
      <c r="A364" s="1" t="s">
        <v>59</v>
      </c>
      <c r="B364" s="1" t="s">
        <v>340</v>
      </c>
      <c r="C364" s="1" t="s">
        <v>698</v>
      </c>
      <c r="D364" s="2">
        <v>45831</v>
      </c>
    </row>
    <row r="365" spans="1:4" x14ac:dyDescent="0.2">
      <c r="A365" s="1" t="s">
        <v>23</v>
      </c>
      <c r="B365" s="1" t="s">
        <v>331</v>
      </c>
      <c r="C365" s="1" t="s">
        <v>346</v>
      </c>
      <c r="D365" s="2">
        <v>45831</v>
      </c>
    </row>
    <row r="366" spans="1:4" x14ac:dyDescent="0.2">
      <c r="A366" s="1" t="s">
        <v>37</v>
      </c>
      <c r="B366" s="1" t="s">
        <v>331</v>
      </c>
      <c r="C366" s="1" t="s">
        <v>717</v>
      </c>
      <c r="D366" s="2">
        <v>45831</v>
      </c>
    </row>
    <row r="367" spans="1:4" x14ac:dyDescent="0.2">
      <c r="A367" s="1" t="s">
        <v>23</v>
      </c>
      <c r="B367" s="1" t="s">
        <v>331</v>
      </c>
      <c r="C367" s="1" t="s">
        <v>737</v>
      </c>
      <c r="D367" s="2">
        <v>45831</v>
      </c>
    </row>
    <row r="368" spans="1:4" x14ac:dyDescent="0.2">
      <c r="A368" s="1" t="s">
        <v>23</v>
      </c>
      <c r="B368" s="1" t="s">
        <v>336</v>
      </c>
      <c r="C368" s="1" t="s">
        <v>744</v>
      </c>
      <c r="D368" s="2">
        <v>45831</v>
      </c>
    </row>
    <row r="369" spans="1:4" x14ac:dyDescent="0.2">
      <c r="A369" s="1" t="s">
        <v>59</v>
      </c>
      <c r="B369" s="1" t="s">
        <v>340</v>
      </c>
      <c r="C369" s="1" t="s">
        <v>777</v>
      </c>
      <c r="D369" s="2">
        <v>45831</v>
      </c>
    </row>
    <row r="370" spans="1:4" x14ac:dyDescent="0.2">
      <c r="A370" s="1" t="s">
        <v>37</v>
      </c>
      <c r="B370" s="1" t="s">
        <v>331</v>
      </c>
      <c r="C370" s="1" t="s">
        <v>802</v>
      </c>
      <c r="D370" s="2">
        <v>45831</v>
      </c>
    </row>
    <row r="371" spans="1:4" x14ac:dyDescent="0.2">
      <c r="A371" s="1" t="s">
        <v>31</v>
      </c>
      <c r="B371" s="1" t="s">
        <v>334</v>
      </c>
      <c r="C371" s="1" t="s">
        <v>347</v>
      </c>
      <c r="D371" s="2">
        <v>45832</v>
      </c>
    </row>
    <row r="372" spans="1:4" x14ac:dyDescent="0.2">
      <c r="A372" s="1" t="s">
        <v>34</v>
      </c>
      <c r="B372" s="1" t="s">
        <v>336</v>
      </c>
      <c r="C372" s="1" t="s">
        <v>362</v>
      </c>
      <c r="D372" s="2">
        <v>45832</v>
      </c>
    </row>
    <row r="373" spans="1:4" x14ac:dyDescent="0.2">
      <c r="A373" s="1" t="s">
        <v>23</v>
      </c>
      <c r="B373" s="1" t="s">
        <v>336</v>
      </c>
      <c r="C373" s="1" t="s">
        <v>374</v>
      </c>
      <c r="D373" s="2">
        <v>45832</v>
      </c>
    </row>
    <row r="374" spans="1:4" x14ac:dyDescent="0.2">
      <c r="A374" s="1" t="s">
        <v>31</v>
      </c>
      <c r="B374" s="1" t="s">
        <v>334</v>
      </c>
      <c r="C374" s="1" t="s">
        <v>387</v>
      </c>
      <c r="D374" s="2">
        <v>45832</v>
      </c>
    </row>
    <row r="375" spans="1:4" x14ac:dyDescent="0.2">
      <c r="A375" s="1" t="s">
        <v>34</v>
      </c>
      <c r="B375" s="1" t="s">
        <v>334</v>
      </c>
      <c r="C375" s="1" t="s">
        <v>411</v>
      </c>
      <c r="D375" s="2">
        <v>45832</v>
      </c>
    </row>
    <row r="376" spans="1:4" x14ac:dyDescent="0.2">
      <c r="A376" s="1" t="s">
        <v>8</v>
      </c>
      <c r="B376" s="1" t="s">
        <v>340</v>
      </c>
      <c r="C376" s="1" t="s">
        <v>482</v>
      </c>
      <c r="D376" s="2">
        <v>45832</v>
      </c>
    </row>
    <row r="377" spans="1:4" x14ac:dyDescent="0.2">
      <c r="A377" s="1" t="s">
        <v>34</v>
      </c>
      <c r="B377" s="1" t="s">
        <v>331</v>
      </c>
      <c r="C377" s="1" t="s">
        <v>493</v>
      </c>
      <c r="D377" s="2">
        <v>45832</v>
      </c>
    </row>
    <row r="378" spans="1:4" x14ac:dyDescent="0.2">
      <c r="A378" s="1" t="s">
        <v>25</v>
      </c>
      <c r="B378" s="1" t="s">
        <v>336</v>
      </c>
      <c r="C378" s="1" t="s">
        <v>554</v>
      </c>
      <c r="D378" s="2">
        <v>45832</v>
      </c>
    </row>
    <row r="379" spans="1:4" x14ac:dyDescent="0.2">
      <c r="A379" s="1" t="s">
        <v>59</v>
      </c>
      <c r="B379" s="1" t="s">
        <v>334</v>
      </c>
      <c r="C379" s="1" t="s">
        <v>557</v>
      </c>
      <c r="D379" s="2">
        <v>45832</v>
      </c>
    </row>
    <row r="380" spans="1:4" x14ac:dyDescent="0.2">
      <c r="A380" s="1" t="s">
        <v>23</v>
      </c>
      <c r="B380" s="1" t="s">
        <v>336</v>
      </c>
      <c r="C380" s="1" t="s">
        <v>558</v>
      </c>
      <c r="D380" s="2">
        <v>45832</v>
      </c>
    </row>
    <row r="381" spans="1:4" x14ac:dyDescent="0.2">
      <c r="A381" s="1" t="s">
        <v>37</v>
      </c>
      <c r="B381" s="1" t="s">
        <v>336</v>
      </c>
      <c r="C381" s="1" t="s">
        <v>561</v>
      </c>
      <c r="D381" s="2">
        <v>45832</v>
      </c>
    </row>
    <row r="382" spans="1:4" x14ac:dyDescent="0.2">
      <c r="A382" s="1" t="s">
        <v>25</v>
      </c>
      <c r="B382" s="1" t="s">
        <v>336</v>
      </c>
      <c r="C382" s="1" t="s">
        <v>608</v>
      </c>
      <c r="D382" s="2">
        <v>45832</v>
      </c>
    </row>
    <row r="383" spans="1:4" x14ac:dyDescent="0.2">
      <c r="A383" s="1" t="s">
        <v>31</v>
      </c>
      <c r="B383" s="1" t="s">
        <v>334</v>
      </c>
      <c r="C383" s="1" t="s">
        <v>641</v>
      </c>
      <c r="D383" s="2">
        <v>45832</v>
      </c>
    </row>
    <row r="384" spans="1:4" x14ac:dyDescent="0.2">
      <c r="A384" s="1" t="s">
        <v>17</v>
      </c>
      <c r="B384" s="1" t="s">
        <v>336</v>
      </c>
      <c r="C384" s="1" t="s">
        <v>642</v>
      </c>
      <c r="D384" s="2">
        <v>45832</v>
      </c>
    </row>
    <row r="385" spans="1:4" x14ac:dyDescent="0.2">
      <c r="A385" s="1" t="s">
        <v>8</v>
      </c>
      <c r="B385" s="1" t="s">
        <v>334</v>
      </c>
      <c r="C385" s="1" t="s">
        <v>645</v>
      </c>
      <c r="D385" s="2">
        <v>45832</v>
      </c>
    </row>
    <row r="386" spans="1:4" x14ac:dyDescent="0.2">
      <c r="A386" s="1" t="s">
        <v>25</v>
      </c>
      <c r="B386" s="1" t="s">
        <v>340</v>
      </c>
      <c r="C386" s="1" t="s">
        <v>713</v>
      </c>
      <c r="D386" s="2">
        <v>45832</v>
      </c>
    </row>
    <row r="387" spans="1:4" x14ac:dyDescent="0.2">
      <c r="A387" s="1" t="s">
        <v>37</v>
      </c>
      <c r="B387" s="1" t="s">
        <v>340</v>
      </c>
      <c r="C387" s="1" t="s">
        <v>728</v>
      </c>
      <c r="D387" s="2">
        <v>45832</v>
      </c>
    </row>
    <row r="388" spans="1:4" x14ac:dyDescent="0.2">
      <c r="A388" s="1" t="s">
        <v>20</v>
      </c>
      <c r="B388" s="1" t="s">
        <v>336</v>
      </c>
      <c r="C388" s="1" t="s">
        <v>730</v>
      </c>
      <c r="D388" s="2">
        <v>45832</v>
      </c>
    </row>
    <row r="389" spans="1:4" x14ac:dyDescent="0.2">
      <c r="A389" s="1" t="s">
        <v>25</v>
      </c>
      <c r="B389" s="1" t="s">
        <v>340</v>
      </c>
      <c r="C389" s="1" t="s">
        <v>750</v>
      </c>
      <c r="D389" s="2">
        <v>45832</v>
      </c>
    </row>
    <row r="390" spans="1:4" x14ac:dyDescent="0.2">
      <c r="A390" s="1" t="s">
        <v>34</v>
      </c>
      <c r="B390" s="1" t="s">
        <v>331</v>
      </c>
      <c r="C390" s="1" t="s">
        <v>752</v>
      </c>
      <c r="D390" s="2">
        <v>45832</v>
      </c>
    </row>
    <row r="391" spans="1:4" x14ac:dyDescent="0.2">
      <c r="A391" s="1" t="s">
        <v>20</v>
      </c>
      <c r="B391" s="1" t="s">
        <v>334</v>
      </c>
      <c r="C391" s="1" t="s">
        <v>776</v>
      </c>
      <c r="D391" s="2">
        <v>45832</v>
      </c>
    </row>
    <row r="392" spans="1:4" x14ac:dyDescent="0.2">
      <c r="A392" s="1" t="s">
        <v>20</v>
      </c>
      <c r="B392" s="1" t="s">
        <v>336</v>
      </c>
      <c r="C392" s="1" t="s">
        <v>808</v>
      </c>
      <c r="D392" s="2">
        <v>45832</v>
      </c>
    </row>
    <row r="393" spans="1:4" x14ac:dyDescent="0.2">
      <c r="A393" s="1" t="s">
        <v>59</v>
      </c>
      <c r="B393" s="1" t="s">
        <v>334</v>
      </c>
      <c r="C393" s="1" t="s">
        <v>335</v>
      </c>
      <c r="D393" s="2">
        <v>45833</v>
      </c>
    </row>
    <row r="394" spans="1:4" x14ac:dyDescent="0.2">
      <c r="A394" s="1" t="s">
        <v>20</v>
      </c>
      <c r="B394" s="1" t="s">
        <v>340</v>
      </c>
      <c r="C394" s="1" t="s">
        <v>370</v>
      </c>
      <c r="D394" s="2">
        <v>45833</v>
      </c>
    </row>
    <row r="395" spans="1:4" x14ac:dyDescent="0.2">
      <c r="A395" s="1" t="s">
        <v>34</v>
      </c>
      <c r="B395" s="1" t="s">
        <v>331</v>
      </c>
      <c r="C395" s="1" t="s">
        <v>408</v>
      </c>
      <c r="D395" s="2">
        <v>45833</v>
      </c>
    </row>
    <row r="396" spans="1:4" x14ac:dyDescent="0.2">
      <c r="A396" s="1" t="s">
        <v>20</v>
      </c>
      <c r="B396" s="1" t="s">
        <v>340</v>
      </c>
      <c r="C396" s="1" t="s">
        <v>420</v>
      </c>
      <c r="D396" s="2">
        <v>45833</v>
      </c>
    </row>
    <row r="397" spans="1:4" x14ac:dyDescent="0.2">
      <c r="A397" s="1" t="s">
        <v>8</v>
      </c>
      <c r="B397" s="1" t="s">
        <v>336</v>
      </c>
      <c r="C397" s="1" t="s">
        <v>455</v>
      </c>
      <c r="D397" s="2">
        <v>45833</v>
      </c>
    </row>
    <row r="398" spans="1:4" x14ac:dyDescent="0.2">
      <c r="A398" s="1" t="s">
        <v>37</v>
      </c>
      <c r="B398" s="1" t="s">
        <v>336</v>
      </c>
      <c r="C398" s="1" t="s">
        <v>495</v>
      </c>
      <c r="D398" s="2">
        <v>45833</v>
      </c>
    </row>
    <row r="399" spans="1:4" x14ac:dyDescent="0.2">
      <c r="A399" s="1" t="s">
        <v>17</v>
      </c>
      <c r="B399" s="1" t="s">
        <v>336</v>
      </c>
      <c r="C399" s="1" t="s">
        <v>595</v>
      </c>
      <c r="D399" s="2">
        <v>45833</v>
      </c>
    </row>
    <row r="400" spans="1:4" x14ac:dyDescent="0.2">
      <c r="A400" s="1" t="s">
        <v>34</v>
      </c>
      <c r="B400" s="1" t="s">
        <v>334</v>
      </c>
      <c r="C400" s="1" t="s">
        <v>614</v>
      </c>
      <c r="D400" s="2">
        <v>45833</v>
      </c>
    </row>
    <row r="401" spans="1:4" x14ac:dyDescent="0.2">
      <c r="A401" s="1" t="s">
        <v>20</v>
      </c>
      <c r="B401" s="1" t="s">
        <v>334</v>
      </c>
      <c r="C401" s="1" t="s">
        <v>617</v>
      </c>
      <c r="D401" s="2">
        <v>45833</v>
      </c>
    </row>
    <row r="402" spans="1:4" x14ac:dyDescent="0.2">
      <c r="A402" s="1" t="s">
        <v>37</v>
      </c>
      <c r="B402" s="1" t="s">
        <v>331</v>
      </c>
      <c r="C402" s="1" t="s">
        <v>658</v>
      </c>
      <c r="D402" s="2">
        <v>45833</v>
      </c>
    </row>
    <row r="403" spans="1:4" x14ac:dyDescent="0.2">
      <c r="A403" s="1" t="s">
        <v>17</v>
      </c>
      <c r="B403" s="1" t="s">
        <v>334</v>
      </c>
      <c r="C403" s="1" t="s">
        <v>672</v>
      </c>
      <c r="D403" s="2">
        <v>45833</v>
      </c>
    </row>
    <row r="404" spans="1:4" x14ac:dyDescent="0.2">
      <c r="A404" s="1" t="s">
        <v>37</v>
      </c>
      <c r="B404" s="1" t="s">
        <v>336</v>
      </c>
      <c r="C404" s="1" t="s">
        <v>686</v>
      </c>
      <c r="D404" s="2">
        <v>45833</v>
      </c>
    </row>
    <row r="405" spans="1:4" x14ac:dyDescent="0.2">
      <c r="A405" s="1" t="s">
        <v>34</v>
      </c>
      <c r="B405" s="1" t="s">
        <v>331</v>
      </c>
      <c r="C405" s="1" t="s">
        <v>725</v>
      </c>
      <c r="D405" s="2">
        <v>45833</v>
      </c>
    </row>
    <row r="406" spans="1:4" x14ac:dyDescent="0.2">
      <c r="A406" s="1" t="s">
        <v>31</v>
      </c>
      <c r="B406" s="1" t="s">
        <v>340</v>
      </c>
      <c r="C406" s="1" t="s">
        <v>726</v>
      </c>
      <c r="D406" s="2">
        <v>45833</v>
      </c>
    </row>
    <row r="407" spans="1:4" x14ac:dyDescent="0.2">
      <c r="A407" s="1" t="s">
        <v>59</v>
      </c>
      <c r="B407" s="1" t="s">
        <v>331</v>
      </c>
      <c r="C407" s="1" t="s">
        <v>738</v>
      </c>
      <c r="D407" s="2">
        <v>45833</v>
      </c>
    </row>
    <row r="408" spans="1:4" x14ac:dyDescent="0.2">
      <c r="A408" s="1" t="s">
        <v>25</v>
      </c>
      <c r="B408" s="1" t="s">
        <v>331</v>
      </c>
      <c r="C408" s="1" t="s">
        <v>765</v>
      </c>
      <c r="D408" s="2">
        <v>45833</v>
      </c>
    </row>
    <row r="409" spans="1:4" x14ac:dyDescent="0.2">
      <c r="A409" s="1" t="s">
        <v>8</v>
      </c>
      <c r="B409" s="1" t="s">
        <v>340</v>
      </c>
      <c r="C409" s="1" t="s">
        <v>773</v>
      </c>
      <c r="D409" s="2">
        <v>45833</v>
      </c>
    </row>
    <row r="410" spans="1:4" x14ac:dyDescent="0.2">
      <c r="A410" s="1" t="s">
        <v>8</v>
      </c>
      <c r="B410" s="1" t="s">
        <v>340</v>
      </c>
      <c r="C410" s="1" t="s">
        <v>783</v>
      </c>
      <c r="D410" s="2">
        <v>45833</v>
      </c>
    </row>
    <row r="411" spans="1:4" x14ac:dyDescent="0.2">
      <c r="A411" s="1" t="s">
        <v>23</v>
      </c>
      <c r="B411" s="1" t="s">
        <v>340</v>
      </c>
      <c r="C411" s="1" t="s">
        <v>577</v>
      </c>
      <c r="D411" s="2">
        <v>45833</v>
      </c>
    </row>
    <row r="412" spans="1:4" x14ac:dyDescent="0.2">
      <c r="A412" s="1" t="s">
        <v>20</v>
      </c>
      <c r="B412" s="1" t="s">
        <v>340</v>
      </c>
      <c r="C412" s="1" t="s">
        <v>810</v>
      </c>
      <c r="D412" s="2">
        <v>45833</v>
      </c>
    </row>
    <row r="413" spans="1:4" x14ac:dyDescent="0.2">
      <c r="A413" s="1" t="s">
        <v>31</v>
      </c>
      <c r="B413" s="1" t="s">
        <v>331</v>
      </c>
      <c r="C413" s="1" t="s">
        <v>352</v>
      </c>
      <c r="D413" s="2">
        <v>45834</v>
      </c>
    </row>
    <row r="414" spans="1:4" x14ac:dyDescent="0.2">
      <c r="A414" s="1" t="s">
        <v>37</v>
      </c>
      <c r="B414" s="1" t="s">
        <v>336</v>
      </c>
      <c r="C414" s="1" t="s">
        <v>363</v>
      </c>
      <c r="D414" s="2">
        <v>45834</v>
      </c>
    </row>
    <row r="415" spans="1:4" x14ac:dyDescent="0.2">
      <c r="A415" s="1" t="s">
        <v>23</v>
      </c>
      <c r="B415" s="1" t="s">
        <v>336</v>
      </c>
      <c r="C415" s="1" t="s">
        <v>366</v>
      </c>
      <c r="D415" s="2">
        <v>45834</v>
      </c>
    </row>
    <row r="416" spans="1:4" x14ac:dyDescent="0.2">
      <c r="A416" s="1" t="s">
        <v>17</v>
      </c>
      <c r="B416" s="1" t="s">
        <v>334</v>
      </c>
      <c r="C416" s="1" t="s">
        <v>372</v>
      </c>
      <c r="D416" s="2">
        <v>45834</v>
      </c>
    </row>
    <row r="417" spans="1:4" x14ac:dyDescent="0.2">
      <c r="A417" s="1" t="s">
        <v>59</v>
      </c>
      <c r="B417" s="1" t="s">
        <v>340</v>
      </c>
      <c r="C417" s="1" t="s">
        <v>406</v>
      </c>
      <c r="D417" s="2">
        <v>45834</v>
      </c>
    </row>
    <row r="418" spans="1:4" x14ac:dyDescent="0.2">
      <c r="A418" s="1" t="s">
        <v>8</v>
      </c>
      <c r="B418" s="1" t="s">
        <v>336</v>
      </c>
      <c r="C418" s="1" t="s">
        <v>414</v>
      </c>
      <c r="D418" s="2">
        <v>45834</v>
      </c>
    </row>
    <row r="419" spans="1:4" x14ac:dyDescent="0.2">
      <c r="A419" s="1" t="s">
        <v>59</v>
      </c>
      <c r="B419" s="1" t="s">
        <v>336</v>
      </c>
      <c r="C419" s="1" t="s">
        <v>416</v>
      </c>
      <c r="D419" s="2">
        <v>45834</v>
      </c>
    </row>
    <row r="420" spans="1:4" x14ac:dyDescent="0.2">
      <c r="A420" s="1" t="s">
        <v>17</v>
      </c>
      <c r="B420" s="1" t="s">
        <v>336</v>
      </c>
      <c r="C420" s="1" t="s">
        <v>489</v>
      </c>
      <c r="D420" s="2">
        <v>45834</v>
      </c>
    </row>
    <row r="421" spans="1:4" x14ac:dyDescent="0.2">
      <c r="A421" s="1" t="s">
        <v>34</v>
      </c>
      <c r="B421" s="1" t="s">
        <v>336</v>
      </c>
      <c r="C421" s="1" t="s">
        <v>533</v>
      </c>
      <c r="D421" s="2">
        <v>45834</v>
      </c>
    </row>
    <row r="422" spans="1:4" x14ac:dyDescent="0.2">
      <c r="A422" s="1" t="s">
        <v>8</v>
      </c>
      <c r="B422" s="1" t="s">
        <v>331</v>
      </c>
      <c r="C422" s="1" t="s">
        <v>565</v>
      </c>
      <c r="D422" s="2">
        <v>45834</v>
      </c>
    </row>
    <row r="423" spans="1:4" x14ac:dyDescent="0.2">
      <c r="A423" s="1" t="s">
        <v>37</v>
      </c>
      <c r="B423" s="1" t="s">
        <v>340</v>
      </c>
      <c r="C423" s="1" t="s">
        <v>592</v>
      </c>
      <c r="D423" s="2">
        <v>45834</v>
      </c>
    </row>
    <row r="424" spans="1:4" x14ac:dyDescent="0.2">
      <c r="A424" s="1" t="s">
        <v>59</v>
      </c>
      <c r="B424" s="1" t="s">
        <v>336</v>
      </c>
      <c r="C424" s="1" t="s">
        <v>659</v>
      </c>
      <c r="D424" s="2">
        <v>45834</v>
      </c>
    </row>
    <row r="425" spans="1:4" x14ac:dyDescent="0.2">
      <c r="A425" s="1" t="s">
        <v>8</v>
      </c>
      <c r="B425" s="1" t="s">
        <v>331</v>
      </c>
      <c r="C425" s="1" t="s">
        <v>679</v>
      </c>
      <c r="D425" s="2">
        <v>45834</v>
      </c>
    </row>
    <row r="426" spans="1:4" x14ac:dyDescent="0.2">
      <c r="A426" s="1" t="s">
        <v>17</v>
      </c>
      <c r="B426" s="1" t="s">
        <v>340</v>
      </c>
      <c r="C426" s="1" t="s">
        <v>714</v>
      </c>
      <c r="D426" s="2">
        <v>45834</v>
      </c>
    </row>
    <row r="427" spans="1:4" x14ac:dyDescent="0.2">
      <c r="A427" s="1" t="s">
        <v>20</v>
      </c>
      <c r="B427" s="1" t="s">
        <v>331</v>
      </c>
      <c r="C427" s="1" t="s">
        <v>740</v>
      </c>
      <c r="D427" s="2">
        <v>45834</v>
      </c>
    </row>
    <row r="428" spans="1:4" x14ac:dyDescent="0.2">
      <c r="A428" s="1" t="s">
        <v>31</v>
      </c>
      <c r="B428" s="1" t="s">
        <v>334</v>
      </c>
      <c r="C428" s="1" t="s">
        <v>749</v>
      </c>
      <c r="D428" s="2">
        <v>45834</v>
      </c>
    </row>
    <row r="429" spans="1:4" x14ac:dyDescent="0.2">
      <c r="A429" s="1" t="s">
        <v>20</v>
      </c>
      <c r="B429" s="1" t="s">
        <v>331</v>
      </c>
      <c r="C429" s="1" t="s">
        <v>760</v>
      </c>
      <c r="D429" s="2">
        <v>45834</v>
      </c>
    </row>
    <row r="430" spans="1:4" x14ac:dyDescent="0.2">
      <c r="A430" s="1" t="s">
        <v>20</v>
      </c>
      <c r="B430" s="1" t="s">
        <v>340</v>
      </c>
      <c r="C430" s="1" t="s">
        <v>785</v>
      </c>
      <c r="D430" s="2">
        <v>45834</v>
      </c>
    </row>
    <row r="431" spans="1:4" x14ac:dyDescent="0.2">
      <c r="A431" s="1" t="s">
        <v>34</v>
      </c>
      <c r="B431" s="1" t="s">
        <v>336</v>
      </c>
      <c r="C431" s="1" t="s">
        <v>788</v>
      </c>
      <c r="D431" s="2">
        <v>45834</v>
      </c>
    </row>
    <row r="432" spans="1:4" x14ac:dyDescent="0.2">
      <c r="A432" s="1" t="s">
        <v>59</v>
      </c>
      <c r="B432" s="1" t="s">
        <v>336</v>
      </c>
      <c r="C432" s="1" t="s">
        <v>402</v>
      </c>
      <c r="D432" s="2">
        <v>45835</v>
      </c>
    </row>
    <row r="433" spans="1:4" x14ac:dyDescent="0.2">
      <c r="A433" s="1" t="s">
        <v>37</v>
      </c>
      <c r="B433" s="1" t="s">
        <v>336</v>
      </c>
      <c r="C433" s="1" t="s">
        <v>404</v>
      </c>
      <c r="D433" s="2">
        <v>45835</v>
      </c>
    </row>
    <row r="434" spans="1:4" x14ac:dyDescent="0.2">
      <c r="A434" s="1" t="s">
        <v>8</v>
      </c>
      <c r="B434" s="1" t="s">
        <v>331</v>
      </c>
      <c r="C434" s="1" t="s">
        <v>409</v>
      </c>
      <c r="D434" s="2">
        <v>45835</v>
      </c>
    </row>
    <row r="435" spans="1:4" x14ac:dyDescent="0.2">
      <c r="A435" s="1" t="s">
        <v>23</v>
      </c>
      <c r="B435" s="1" t="s">
        <v>340</v>
      </c>
      <c r="C435" s="1" t="s">
        <v>514</v>
      </c>
      <c r="D435" s="2">
        <v>45835</v>
      </c>
    </row>
    <row r="436" spans="1:4" x14ac:dyDescent="0.2">
      <c r="A436" s="1" t="s">
        <v>17</v>
      </c>
      <c r="B436" s="1" t="s">
        <v>331</v>
      </c>
      <c r="C436" s="1" t="s">
        <v>517</v>
      </c>
      <c r="D436" s="2">
        <v>45835</v>
      </c>
    </row>
    <row r="437" spans="1:4" x14ac:dyDescent="0.2">
      <c r="A437" s="1" t="s">
        <v>17</v>
      </c>
      <c r="B437" s="1" t="s">
        <v>336</v>
      </c>
      <c r="C437" s="1" t="s">
        <v>525</v>
      </c>
      <c r="D437" s="2">
        <v>45835</v>
      </c>
    </row>
    <row r="438" spans="1:4" x14ac:dyDescent="0.2">
      <c r="A438" s="1" t="s">
        <v>20</v>
      </c>
      <c r="B438" s="1" t="s">
        <v>334</v>
      </c>
      <c r="C438" s="1" t="s">
        <v>568</v>
      </c>
      <c r="D438" s="2">
        <v>45835</v>
      </c>
    </row>
    <row r="439" spans="1:4" x14ac:dyDescent="0.2">
      <c r="A439" s="1" t="s">
        <v>8</v>
      </c>
      <c r="B439" s="1" t="s">
        <v>334</v>
      </c>
      <c r="C439" s="1" t="s">
        <v>597</v>
      </c>
      <c r="D439" s="2">
        <v>45835</v>
      </c>
    </row>
    <row r="440" spans="1:4" x14ac:dyDescent="0.2">
      <c r="A440" s="1" t="s">
        <v>34</v>
      </c>
      <c r="B440" s="1" t="s">
        <v>331</v>
      </c>
      <c r="C440" s="1" t="s">
        <v>620</v>
      </c>
      <c r="D440" s="2">
        <v>45835</v>
      </c>
    </row>
    <row r="441" spans="1:4" x14ac:dyDescent="0.2">
      <c r="A441" s="1" t="s">
        <v>17</v>
      </c>
      <c r="B441" s="1" t="s">
        <v>340</v>
      </c>
      <c r="C441" s="1" t="s">
        <v>685</v>
      </c>
      <c r="D441" s="2">
        <v>45835</v>
      </c>
    </row>
    <row r="442" spans="1:4" x14ac:dyDescent="0.2">
      <c r="A442" s="1" t="s">
        <v>31</v>
      </c>
      <c r="B442" s="1" t="s">
        <v>334</v>
      </c>
      <c r="C442" s="1" t="s">
        <v>696</v>
      </c>
      <c r="D442" s="2">
        <v>45835</v>
      </c>
    </row>
    <row r="443" spans="1:4" x14ac:dyDescent="0.2">
      <c r="A443" s="1" t="s">
        <v>59</v>
      </c>
      <c r="B443" s="1" t="s">
        <v>334</v>
      </c>
      <c r="C443" s="1" t="s">
        <v>721</v>
      </c>
      <c r="D443" s="2">
        <v>45835</v>
      </c>
    </row>
    <row r="444" spans="1:4" x14ac:dyDescent="0.2">
      <c r="A444" s="1" t="s">
        <v>31</v>
      </c>
      <c r="B444" s="1" t="s">
        <v>336</v>
      </c>
      <c r="C444" s="1" t="s">
        <v>724</v>
      </c>
      <c r="D444" s="2">
        <v>45835</v>
      </c>
    </row>
    <row r="445" spans="1:4" x14ac:dyDescent="0.2">
      <c r="A445" s="1" t="s">
        <v>23</v>
      </c>
      <c r="B445" s="1" t="s">
        <v>336</v>
      </c>
      <c r="C445" s="1" t="s">
        <v>751</v>
      </c>
      <c r="D445" s="2">
        <v>45835</v>
      </c>
    </row>
    <row r="446" spans="1:4" x14ac:dyDescent="0.2">
      <c r="A446" s="1" t="s">
        <v>23</v>
      </c>
      <c r="B446" s="1" t="s">
        <v>340</v>
      </c>
      <c r="C446" s="1" t="s">
        <v>770</v>
      </c>
      <c r="D446" s="2">
        <v>45835</v>
      </c>
    </row>
    <row r="447" spans="1:4" x14ac:dyDescent="0.2">
      <c r="A447" s="1" t="s">
        <v>37</v>
      </c>
      <c r="B447" s="1" t="s">
        <v>334</v>
      </c>
      <c r="C447" s="1" t="s">
        <v>786</v>
      </c>
      <c r="D447" s="2">
        <v>45835</v>
      </c>
    </row>
    <row r="448" spans="1:4" x14ac:dyDescent="0.2">
      <c r="A448" s="1" t="s">
        <v>34</v>
      </c>
      <c r="B448" s="1" t="s">
        <v>334</v>
      </c>
      <c r="C448" s="1" t="s">
        <v>804</v>
      </c>
      <c r="D448" s="2">
        <v>45835</v>
      </c>
    </row>
    <row r="449" spans="1:4" x14ac:dyDescent="0.2">
      <c r="A449" s="1" t="s">
        <v>17</v>
      </c>
      <c r="B449" s="1" t="s">
        <v>340</v>
      </c>
      <c r="C449" s="1" t="s">
        <v>382</v>
      </c>
      <c r="D449" s="2">
        <v>45836</v>
      </c>
    </row>
    <row r="450" spans="1:4" x14ac:dyDescent="0.2">
      <c r="A450" s="1" t="s">
        <v>8</v>
      </c>
      <c r="B450" s="1" t="s">
        <v>331</v>
      </c>
      <c r="C450" s="1" t="s">
        <v>394</v>
      </c>
      <c r="D450" s="2">
        <v>45836</v>
      </c>
    </row>
    <row r="451" spans="1:4" x14ac:dyDescent="0.2">
      <c r="A451" s="1" t="s">
        <v>23</v>
      </c>
      <c r="B451" s="1" t="s">
        <v>331</v>
      </c>
      <c r="C451" s="1" t="s">
        <v>419</v>
      </c>
      <c r="D451" s="2">
        <v>45836</v>
      </c>
    </row>
    <row r="452" spans="1:4" x14ac:dyDescent="0.2">
      <c r="A452" s="1" t="s">
        <v>31</v>
      </c>
      <c r="B452" s="1" t="s">
        <v>340</v>
      </c>
      <c r="C452" s="1" t="s">
        <v>421</v>
      </c>
      <c r="D452" s="2">
        <v>45836</v>
      </c>
    </row>
    <row r="453" spans="1:4" x14ac:dyDescent="0.2">
      <c r="A453" s="1" t="s">
        <v>37</v>
      </c>
      <c r="B453" s="1" t="s">
        <v>331</v>
      </c>
      <c r="C453" s="1" t="s">
        <v>427</v>
      </c>
      <c r="D453" s="2">
        <v>45836</v>
      </c>
    </row>
    <row r="454" spans="1:4" x14ac:dyDescent="0.2">
      <c r="A454" s="1" t="s">
        <v>8</v>
      </c>
      <c r="B454" s="1" t="s">
        <v>334</v>
      </c>
      <c r="C454" s="1" t="s">
        <v>428</v>
      </c>
      <c r="D454" s="2">
        <v>45836</v>
      </c>
    </row>
    <row r="455" spans="1:4" x14ac:dyDescent="0.2">
      <c r="A455" s="1" t="s">
        <v>25</v>
      </c>
      <c r="B455" s="1" t="s">
        <v>336</v>
      </c>
      <c r="C455" s="1" t="s">
        <v>461</v>
      </c>
      <c r="D455" s="2">
        <v>45836</v>
      </c>
    </row>
    <row r="456" spans="1:4" x14ac:dyDescent="0.2">
      <c r="A456" s="1" t="s">
        <v>20</v>
      </c>
      <c r="B456" s="1" t="s">
        <v>340</v>
      </c>
      <c r="C456" s="1" t="s">
        <v>483</v>
      </c>
      <c r="D456" s="2">
        <v>45836</v>
      </c>
    </row>
    <row r="457" spans="1:4" x14ac:dyDescent="0.2">
      <c r="A457" s="1" t="s">
        <v>59</v>
      </c>
      <c r="B457" s="1" t="s">
        <v>340</v>
      </c>
      <c r="C457" s="1" t="s">
        <v>518</v>
      </c>
      <c r="D457" s="2">
        <v>45836</v>
      </c>
    </row>
    <row r="458" spans="1:4" x14ac:dyDescent="0.2">
      <c r="A458" s="1" t="s">
        <v>59</v>
      </c>
      <c r="B458" s="1" t="s">
        <v>336</v>
      </c>
      <c r="C458" s="1" t="s">
        <v>551</v>
      </c>
      <c r="D458" s="2">
        <v>45836</v>
      </c>
    </row>
    <row r="459" spans="1:4" x14ac:dyDescent="0.2">
      <c r="A459" s="1" t="s">
        <v>23</v>
      </c>
      <c r="B459" s="1" t="s">
        <v>340</v>
      </c>
      <c r="C459" s="1" t="s">
        <v>583</v>
      </c>
      <c r="D459" s="2">
        <v>45836</v>
      </c>
    </row>
    <row r="460" spans="1:4" x14ac:dyDescent="0.2">
      <c r="A460" s="1" t="s">
        <v>31</v>
      </c>
      <c r="B460" s="1" t="s">
        <v>340</v>
      </c>
      <c r="C460" s="1" t="s">
        <v>625</v>
      </c>
      <c r="D460" s="2">
        <v>45836</v>
      </c>
    </row>
    <row r="461" spans="1:4" x14ac:dyDescent="0.2">
      <c r="A461" s="1" t="s">
        <v>23</v>
      </c>
      <c r="B461" s="1" t="s">
        <v>331</v>
      </c>
      <c r="C461" s="1" t="s">
        <v>649</v>
      </c>
      <c r="D461" s="2">
        <v>45836</v>
      </c>
    </row>
    <row r="462" spans="1:4" x14ac:dyDescent="0.2">
      <c r="A462" s="1" t="s">
        <v>8</v>
      </c>
      <c r="B462" s="1" t="s">
        <v>334</v>
      </c>
      <c r="C462" s="1" t="s">
        <v>650</v>
      </c>
      <c r="D462" s="2">
        <v>45836</v>
      </c>
    </row>
    <row r="463" spans="1:4" x14ac:dyDescent="0.2">
      <c r="A463" s="1" t="s">
        <v>37</v>
      </c>
      <c r="B463" s="1" t="s">
        <v>336</v>
      </c>
      <c r="C463" s="1" t="s">
        <v>655</v>
      </c>
      <c r="D463" s="2">
        <v>45836</v>
      </c>
    </row>
    <row r="464" spans="1:4" x14ac:dyDescent="0.2">
      <c r="A464" s="1" t="s">
        <v>31</v>
      </c>
      <c r="B464" s="1" t="s">
        <v>331</v>
      </c>
      <c r="C464" s="1" t="s">
        <v>701</v>
      </c>
      <c r="D464" s="2">
        <v>45836</v>
      </c>
    </row>
    <row r="465" spans="1:4" x14ac:dyDescent="0.2">
      <c r="A465" s="1" t="s">
        <v>59</v>
      </c>
      <c r="B465" s="1" t="s">
        <v>334</v>
      </c>
      <c r="C465" s="1" t="s">
        <v>707</v>
      </c>
      <c r="D465" s="2">
        <v>45836</v>
      </c>
    </row>
    <row r="466" spans="1:4" x14ac:dyDescent="0.2">
      <c r="A466" s="1" t="s">
        <v>25</v>
      </c>
      <c r="B466" s="1" t="s">
        <v>340</v>
      </c>
      <c r="C466" s="1" t="s">
        <v>716</v>
      </c>
      <c r="D466" s="2">
        <v>45836</v>
      </c>
    </row>
    <row r="467" spans="1:4" x14ac:dyDescent="0.2">
      <c r="A467" s="1" t="s">
        <v>31</v>
      </c>
      <c r="B467" s="1" t="s">
        <v>331</v>
      </c>
      <c r="C467" s="1" t="s">
        <v>735</v>
      </c>
      <c r="D467" s="2">
        <v>45836</v>
      </c>
    </row>
    <row r="468" spans="1:4" x14ac:dyDescent="0.2">
      <c r="A468" s="1" t="s">
        <v>8</v>
      </c>
      <c r="B468" s="1" t="s">
        <v>340</v>
      </c>
      <c r="C468" s="1" t="s">
        <v>809</v>
      </c>
      <c r="D468" s="2">
        <v>45836</v>
      </c>
    </row>
    <row r="469" spans="1:4" x14ac:dyDescent="0.2">
      <c r="A469" s="1" t="s">
        <v>20</v>
      </c>
      <c r="B469" s="1" t="s">
        <v>340</v>
      </c>
      <c r="C469" s="1" t="s">
        <v>815</v>
      </c>
      <c r="D469" s="2">
        <v>45836</v>
      </c>
    </row>
    <row r="470" spans="1:4" x14ac:dyDescent="0.2">
      <c r="A470" s="1" t="s">
        <v>59</v>
      </c>
      <c r="B470" s="1" t="s">
        <v>334</v>
      </c>
      <c r="C470" s="1" t="s">
        <v>432</v>
      </c>
      <c r="D470" s="2">
        <v>45837</v>
      </c>
    </row>
    <row r="471" spans="1:4" x14ac:dyDescent="0.2">
      <c r="A471" s="1" t="s">
        <v>31</v>
      </c>
      <c r="B471" s="1" t="s">
        <v>336</v>
      </c>
      <c r="C471" s="1" t="s">
        <v>436</v>
      </c>
      <c r="D471" s="2">
        <v>45837</v>
      </c>
    </row>
    <row r="472" spans="1:4" x14ac:dyDescent="0.2">
      <c r="A472" s="1" t="s">
        <v>23</v>
      </c>
      <c r="B472" s="1" t="s">
        <v>334</v>
      </c>
      <c r="C472" s="1" t="s">
        <v>530</v>
      </c>
      <c r="D472" s="2">
        <v>45837</v>
      </c>
    </row>
    <row r="473" spans="1:4" x14ac:dyDescent="0.2">
      <c r="A473" s="1" t="s">
        <v>37</v>
      </c>
      <c r="B473" s="1" t="s">
        <v>334</v>
      </c>
      <c r="C473" s="1" t="s">
        <v>371</v>
      </c>
      <c r="D473" s="2">
        <v>45837</v>
      </c>
    </row>
    <row r="474" spans="1:4" x14ac:dyDescent="0.2">
      <c r="A474" s="1" t="s">
        <v>23</v>
      </c>
      <c r="B474" s="1" t="s">
        <v>340</v>
      </c>
      <c r="C474" s="1" t="s">
        <v>594</v>
      </c>
      <c r="D474" s="2">
        <v>45837</v>
      </c>
    </row>
    <row r="475" spans="1:4" x14ac:dyDescent="0.2">
      <c r="A475" s="1" t="s">
        <v>8</v>
      </c>
      <c r="B475" s="1" t="s">
        <v>331</v>
      </c>
      <c r="C475" s="1" t="s">
        <v>603</v>
      </c>
      <c r="D475" s="2">
        <v>45837</v>
      </c>
    </row>
    <row r="476" spans="1:4" x14ac:dyDescent="0.2">
      <c r="A476" s="1" t="s">
        <v>31</v>
      </c>
      <c r="B476" s="1" t="s">
        <v>340</v>
      </c>
      <c r="C476" s="1" t="s">
        <v>607</v>
      </c>
      <c r="D476" s="2">
        <v>45837</v>
      </c>
    </row>
    <row r="477" spans="1:4" x14ac:dyDescent="0.2">
      <c r="A477" s="1" t="s">
        <v>34</v>
      </c>
      <c r="B477" s="1" t="s">
        <v>331</v>
      </c>
      <c r="C477" s="1" t="s">
        <v>663</v>
      </c>
      <c r="D477" s="2">
        <v>45837</v>
      </c>
    </row>
    <row r="478" spans="1:4" x14ac:dyDescent="0.2">
      <c r="A478" s="1" t="s">
        <v>20</v>
      </c>
      <c r="B478" s="1" t="s">
        <v>331</v>
      </c>
      <c r="C478" s="1" t="s">
        <v>660</v>
      </c>
      <c r="D478" s="2">
        <v>45837</v>
      </c>
    </row>
    <row r="479" spans="1:4" x14ac:dyDescent="0.2">
      <c r="A479" s="1" t="s">
        <v>20</v>
      </c>
      <c r="B479" s="1" t="s">
        <v>340</v>
      </c>
      <c r="C479" s="1" t="s">
        <v>687</v>
      </c>
      <c r="D479" s="2">
        <v>45837</v>
      </c>
    </row>
    <row r="480" spans="1:4" x14ac:dyDescent="0.2">
      <c r="A480" s="1" t="s">
        <v>59</v>
      </c>
      <c r="B480" s="1" t="s">
        <v>331</v>
      </c>
      <c r="C480" s="1" t="s">
        <v>693</v>
      </c>
      <c r="D480" s="2">
        <v>45837</v>
      </c>
    </row>
    <row r="481" spans="1:4" x14ac:dyDescent="0.2">
      <c r="A481" s="1" t="s">
        <v>25</v>
      </c>
      <c r="B481" s="1" t="s">
        <v>334</v>
      </c>
      <c r="C481" s="1" t="s">
        <v>767</v>
      </c>
      <c r="D481" s="2">
        <v>45837</v>
      </c>
    </row>
    <row r="482" spans="1:4" x14ac:dyDescent="0.2">
      <c r="A482" s="1" t="s">
        <v>25</v>
      </c>
      <c r="B482" s="1" t="s">
        <v>336</v>
      </c>
      <c r="C482" s="1" t="s">
        <v>793</v>
      </c>
      <c r="D482" s="2">
        <v>45837</v>
      </c>
    </row>
    <row r="483" spans="1:4" x14ac:dyDescent="0.2">
      <c r="A483" s="1" t="s">
        <v>25</v>
      </c>
      <c r="B483" s="1" t="s">
        <v>336</v>
      </c>
      <c r="C483" s="1" t="s">
        <v>372</v>
      </c>
      <c r="D483" s="2">
        <v>45837</v>
      </c>
    </row>
    <row r="484" spans="1:4" x14ac:dyDescent="0.2">
      <c r="A484" s="1" t="s">
        <v>8</v>
      </c>
      <c r="B484" s="1" t="s">
        <v>331</v>
      </c>
      <c r="C484" s="1" t="s">
        <v>807</v>
      </c>
      <c r="D484" s="2">
        <v>45837</v>
      </c>
    </row>
    <row r="485" spans="1:4" x14ac:dyDescent="0.2">
      <c r="A485" s="1" t="s">
        <v>25</v>
      </c>
      <c r="B485" s="1" t="s">
        <v>340</v>
      </c>
      <c r="C485" s="1" t="s">
        <v>383</v>
      </c>
      <c r="D485" s="2">
        <v>45838</v>
      </c>
    </row>
    <row r="486" spans="1:4" x14ac:dyDescent="0.2">
      <c r="A486" s="1" t="s">
        <v>37</v>
      </c>
      <c r="B486" s="1" t="s">
        <v>336</v>
      </c>
      <c r="C486" s="1" t="s">
        <v>395</v>
      </c>
      <c r="D486" s="2">
        <v>45838</v>
      </c>
    </row>
    <row r="487" spans="1:4" x14ac:dyDescent="0.2">
      <c r="A487" s="1" t="s">
        <v>37</v>
      </c>
      <c r="B487" s="1" t="s">
        <v>340</v>
      </c>
      <c r="C487" s="1" t="s">
        <v>434</v>
      </c>
      <c r="D487" s="2">
        <v>45838</v>
      </c>
    </row>
    <row r="488" spans="1:4" x14ac:dyDescent="0.2">
      <c r="A488" s="1" t="s">
        <v>25</v>
      </c>
      <c r="B488" s="1" t="s">
        <v>336</v>
      </c>
      <c r="C488" s="1" t="s">
        <v>450</v>
      </c>
      <c r="D488" s="2">
        <v>45838</v>
      </c>
    </row>
    <row r="489" spans="1:4" x14ac:dyDescent="0.2">
      <c r="A489" s="1" t="s">
        <v>8</v>
      </c>
      <c r="B489" s="1" t="s">
        <v>340</v>
      </c>
      <c r="C489" s="1" t="s">
        <v>460</v>
      </c>
      <c r="D489" s="2">
        <v>45838</v>
      </c>
    </row>
    <row r="490" spans="1:4" x14ac:dyDescent="0.2">
      <c r="A490" s="1" t="s">
        <v>34</v>
      </c>
      <c r="B490" s="1" t="s">
        <v>336</v>
      </c>
      <c r="C490" s="1" t="s">
        <v>496</v>
      </c>
      <c r="D490" s="2">
        <v>45838</v>
      </c>
    </row>
    <row r="491" spans="1:4" x14ac:dyDescent="0.2">
      <c r="A491" s="1" t="s">
        <v>23</v>
      </c>
      <c r="B491" s="1" t="s">
        <v>331</v>
      </c>
      <c r="C491" s="1" t="s">
        <v>506</v>
      </c>
      <c r="D491" s="2">
        <v>45838</v>
      </c>
    </row>
    <row r="492" spans="1:4" x14ac:dyDescent="0.2">
      <c r="A492" s="1" t="s">
        <v>20</v>
      </c>
      <c r="B492" s="1" t="s">
        <v>334</v>
      </c>
      <c r="C492" s="1" t="s">
        <v>535</v>
      </c>
      <c r="D492" s="2">
        <v>45838</v>
      </c>
    </row>
    <row r="493" spans="1:4" x14ac:dyDescent="0.2">
      <c r="A493" s="1" t="s">
        <v>34</v>
      </c>
      <c r="B493" s="1" t="s">
        <v>331</v>
      </c>
      <c r="C493" s="1" t="s">
        <v>543</v>
      </c>
      <c r="D493" s="2">
        <v>45838</v>
      </c>
    </row>
    <row r="494" spans="1:4" x14ac:dyDescent="0.2">
      <c r="A494" s="1" t="s">
        <v>25</v>
      </c>
      <c r="B494" s="1" t="s">
        <v>336</v>
      </c>
      <c r="C494" s="1" t="s">
        <v>560</v>
      </c>
      <c r="D494" s="2">
        <v>45838</v>
      </c>
    </row>
    <row r="495" spans="1:4" x14ac:dyDescent="0.2">
      <c r="A495" s="1" t="s">
        <v>59</v>
      </c>
      <c r="B495" s="1" t="s">
        <v>331</v>
      </c>
      <c r="C495" s="1" t="s">
        <v>598</v>
      </c>
      <c r="D495" s="2">
        <v>45838</v>
      </c>
    </row>
    <row r="496" spans="1:4" x14ac:dyDescent="0.2">
      <c r="A496" s="1" t="s">
        <v>17</v>
      </c>
      <c r="B496" s="1" t="s">
        <v>340</v>
      </c>
      <c r="C496" s="1" t="s">
        <v>628</v>
      </c>
      <c r="D496" s="2">
        <v>45838</v>
      </c>
    </row>
    <row r="497" spans="1:4" x14ac:dyDescent="0.2">
      <c r="A497" s="1" t="s">
        <v>37</v>
      </c>
      <c r="B497" s="1" t="s">
        <v>331</v>
      </c>
      <c r="C497" s="1" t="s">
        <v>640</v>
      </c>
      <c r="D497" s="2">
        <v>45838</v>
      </c>
    </row>
    <row r="498" spans="1:4" x14ac:dyDescent="0.2">
      <c r="A498" s="1" t="s">
        <v>34</v>
      </c>
      <c r="B498" s="1" t="s">
        <v>336</v>
      </c>
      <c r="C498" s="1" t="s">
        <v>723</v>
      </c>
      <c r="D498" s="2">
        <v>45838</v>
      </c>
    </row>
    <row r="499" spans="1:4" x14ac:dyDescent="0.2">
      <c r="A499" s="1" t="s">
        <v>17</v>
      </c>
      <c r="B499" s="1" t="s">
        <v>334</v>
      </c>
      <c r="C499" s="1" t="s">
        <v>729</v>
      </c>
      <c r="D499" s="2">
        <v>45838</v>
      </c>
    </row>
    <row r="500" spans="1:4" x14ac:dyDescent="0.2">
      <c r="A500" s="1" t="s">
        <v>20</v>
      </c>
      <c r="B500" s="1" t="s">
        <v>331</v>
      </c>
      <c r="C500" s="1" t="s">
        <v>748</v>
      </c>
      <c r="D500" s="2">
        <v>45838</v>
      </c>
    </row>
    <row r="501" spans="1:4" x14ac:dyDescent="0.2">
      <c r="A501" s="1" t="s">
        <v>17</v>
      </c>
      <c r="B501" s="1" t="s">
        <v>340</v>
      </c>
      <c r="C501" s="1" t="s">
        <v>784</v>
      </c>
      <c r="D501" s="2">
        <v>45838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9C56-647E-594D-9DED-7D5B70C4CCDC}">
  <dimension ref="A1:D10"/>
  <sheetViews>
    <sheetView workbookViewId="0">
      <selection activeCell="K14" sqref="K14"/>
    </sheetView>
  </sheetViews>
  <sheetFormatPr baseColWidth="10" defaultRowHeight="16" x14ac:dyDescent="0.2"/>
  <cols>
    <col min="1" max="1" width="18.6640625" bestFit="1" customWidth="1"/>
    <col min="2" max="2" width="8.6640625" customWidth="1"/>
    <col min="3" max="3" width="11.5" bestFit="1" customWidth="1"/>
    <col min="4" max="4" width="13.1640625" customWidth="1"/>
  </cols>
  <sheetData>
    <row r="1" spans="1:4" x14ac:dyDescent="0.2">
      <c r="A1" s="1" t="s">
        <v>1</v>
      </c>
      <c r="B1" s="1" t="s">
        <v>2</v>
      </c>
      <c r="C1" s="1" t="s">
        <v>3</v>
      </c>
      <c r="D1" s="1" t="s">
        <v>817</v>
      </c>
    </row>
    <row r="2" spans="1:4" x14ac:dyDescent="0.2">
      <c r="A2" s="1" t="s">
        <v>17</v>
      </c>
      <c r="B2" s="1" t="s">
        <v>26</v>
      </c>
      <c r="C2" s="1" t="s">
        <v>45</v>
      </c>
      <c r="D2" s="1" t="s">
        <v>11</v>
      </c>
    </row>
    <row r="3" spans="1:4" x14ac:dyDescent="0.2">
      <c r="A3" s="1" t="s">
        <v>8</v>
      </c>
      <c r="B3" s="1" t="s">
        <v>28</v>
      </c>
      <c r="C3" s="1" t="s">
        <v>32</v>
      </c>
      <c r="D3" s="1" t="s">
        <v>11</v>
      </c>
    </row>
    <row r="4" spans="1:4" x14ac:dyDescent="0.2">
      <c r="A4" s="1" t="s">
        <v>59</v>
      </c>
      <c r="B4" s="1" t="s">
        <v>26</v>
      </c>
      <c r="C4" s="1" t="s">
        <v>21</v>
      </c>
      <c r="D4" s="1" t="s">
        <v>11</v>
      </c>
    </row>
    <row r="5" spans="1:4" x14ac:dyDescent="0.2">
      <c r="A5" s="1" t="s">
        <v>34</v>
      </c>
      <c r="B5" s="1" t="s">
        <v>18</v>
      </c>
      <c r="C5" s="1" t="s">
        <v>32</v>
      </c>
      <c r="D5" s="1" t="s">
        <v>15</v>
      </c>
    </row>
    <row r="6" spans="1:4" x14ac:dyDescent="0.2">
      <c r="A6" s="1" t="s">
        <v>23</v>
      </c>
      <c r="B6" s="1" t="s">
        <v>26</v>
      </c>
      <c r="C6" s="1" t="s">
        <v>14</v>
      </c>
      <c r="D6" s="1" t="s">
        <v>11</v>
      </c>
    </row>
    <row r="7" spans="1:4" x14ac:dyDescent="0.2">
      <c r="A7" s="1" t="s">
        <v>25</v>
      </c>
      <c r="B7" s="1" t="s">
        <v>13</v>
      </c>
      <c r="C7" s="1" t="s">
        <v>32</v>
      </c>
      <c r="D7" s="1" t="s">
        <v>15</v>
      </c>
    </row>
    <row r="8" spans="1:4" x14ac:dyDescent="0.2">
      <c r="A8" s="1" t="s">
        <v>31</v>
      </c>
      <c r="B8" s="1" t="s">
        <v>28</v>
      </c>
      <c r="C8" s="1" t="s">
        <v>21</v>
      </c>
      <c r="D8" s="1" t="s">
        <v>11</v>
      </c>
    </row>
    <row r="9" spans="1:4" x14ac:dyDescent="0.2">
      <c r="A9" s="1" t="s">
        <v>37</v>
      </c>
      <c r="B9" s="1" t="s">
        <v>18</v>
      </c>
      <c r="C9" s="1" t="s">
        <v>32</v>
      </c>
      <c r="D9" s="1" t="s">
        <v>11</v>
      </c>
    </row>
    <row r="10" spans="1:4" x14ac:dyDescent="0.2">
      <c r="A10" s="1" t="s">
        <v>20</v>
      </c>
      <c r="B10" s="1" t="s">
        <v>13</v>
      </c>
      <c r="C10" s="1" t="s">
        <v>32</v>
      </c>
      <c r="D10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A1F9-4EDD-844A-A147-5D8E58AE199A}">
  <dimension ref="A1:D401"/>
  <sheetViews>
    <sheetView workbookViewId="0">
      <selection activeCell="G11" sqref="G11"/>
    </sheetView>
  </sheetViews>
  <sheetFormatPr baseColWidth="10" defaultRowHeight="16" x14ac:dyDescent="0.2"/>
  <cols>
    <col min="1" max="1" width="18.6640625" bestFit="1" customWidth="1"/>
    <col min="2" max="2" width="14.83203125" bestFit="1" customWidth="1"/>
    <col min="3" max="3" width="11" customWidth="1"/>
    <col min="4" max="4" width="10.1640625" bestFit="1" customWidth="1"/>
  </cols>
  <sheetData>
    <row r="1" spans="1:4" x14ac:dyDescent="0.2">
      <c r="A1" s="1" t="s">
        <v>1</v>
      </c>
      <c r="B1" s="1" t="s">
        <v>818</v>
      </c>
      <c r="C1" t="s">
        <v>819</v>
      </c>
      <c r="D1" t="s">
        <v>5</v>
      </c>
    </row>
    <row r="2" spans="1:4" x14ac:dyDescent="0.2">
      <c r="A2" s="1" t="s">
        <v>23</v>
      </c>
      <c r="B2" s="1" t="s">
        <v>822</v>
      </c>
      <c r="C2">
        <v>91</v>
      </c>
      <c r="D2" s="2">
        <v>45809</v>
      </c>
    </row>
    <row r="3" spans="1:4" x14ac:dyDescent="0.2">
      <c r="A3" s="1" t="s">
        <v>23</v>
      </c>
      <c r="B3" s="1" t="s">
        <v>822</v>
      </c>
      <c r="C3">
        <v>128</v>
      </c>
      <c r="D3" s="2">
        <v>45809</v>
      </c>
    </row>
    <row r="4" spans="1:4" x14ac:dyDescent="0.2">
      <c r="A4" s="1" t="s">
        <v>8</v>
      </c>
      <c r="B4" s="1" t="s">
        <v>823</v>
      </c>
      <c r="C4">
        <v>39</v>
      </c>
      <c r="D4" s="2">
        <v>45809</v>
      </c>
    </row>
    <row r="5" spans="1:4" x14ac:dyDescent="0.2">
      <c r="A5" s="1" t="s">
        <v>23</v>
      </c>
      <c r="B5" s="1" t="s">
        <v>824</v>
      </c>
      <c r="C5">
        <v>103</v>
      </c>
      <c r="D5" s="2">
        <v>45809</v>
      </c>
    </row>
    <row r="6" spans="1:4" x14ac:dyDescent="0.2">
      <c r="A6" s="1" t="s">
        <v>25</v>
      </c>
      <c r="B6" s="1" t="s">
        <v>823</v>
      </c>
      <c r="C6">
        <v>73</v>
      </c>
      <c r="D6" s="2">
        <v>45809</v>
      </c>
    </row>
    <row r="7" spans="1:4" x14ac:dyDescent="0.2">
      <c r="A7" s="1" t="s">
        <v>23</v>
      </c>
      <c r="B7" s="1" t="s">
        <v>821</v>
      </c>
      <c r="C7">
        <v>83</v>
      </c>
      <c r="D7" s="2">
        <v>45809</v>
      </c>
    </row>
    <row r="8" spans="1:4" x14ac:dyDescent="0.2">
      <c r="A8" s="1" t="s">
        <v>17</v>
      </c>
      <c r="B8" s="1" t="s">
        <v>820</v>
      </c>
      <c r="C8">
        <v>83</v>
      </c>
      <c r="D8" s="2">
        <v>45809</v>
      </c>
    </row>
    <row r="9" spans="1:4" x14ac:dyDescent="0.2">
      <c r="A9" s="1" t="s">
        <v>17</v>
      </c>
      <c r="B9" s="1" t="s">
        <v>820</v>
      </c>
      <c r="C9">
        <v>89</v>
      </c>
      <c r="D9" s="2">
        <v>45809</v>
      </c>
    </row>
    <row r="10" spans="1:4" x14ac:dyDescent="0.2">
      <c r="A10" s="1" t="s">
        <v>20</v>
      </c>
      <c r="B10" s="1" t="s">
        <v>822</v>
      </c>
      <c r="C10">
        <v>77</v>
      </c>
      <c r="D10" s="2">
        <v>45809</v>
      </c>
    </row>
    <row r="11" spans="1:4" x14ac:dyDescent="0.2">
      <c r="A11" s="1" t="s">
        <v>25</v>
      </c>
      <c r="B11" s="1" t="s">
        <v>823</v>
      </c>
      <c r="C11">
        <v>67</v>
      </c>
      <c r="D11" s="2">
        <v>45810</v>
      </c>
    </row>
    <row r="12" spans="1:4" x14ac:dyDescent="0.2">
      <c r="A12" s="1" t="s">
        <v>17</v>
      </c>
      <c r="B12" s="1" t="s">
        <v>824</v>
      </c>
      <c r="C12">
        <v>104</v>
      </c>
      <c r="D12" s="2">
        <v>45810</v>
      </c>
    </row>
    <row r="13" spans="1:4" x14ac:dyDescent="0.2">
      <c r="A13" s="1" t="s">
        <v>8</v>
      </c>
      <c r="B13" s="1" t="s">
        <v>821</v>
      </c>
      <c r="C13">
        <v>70</v>
      </c>
      <c r="D13" s="2">
        <v>45810</v>
      </c>
    </row>
    <row r="14" spans="1:4" x14ac:dyDescent="0.2">
      <c r="A14" s="1" t="s">
        <v>25</v>
      </c>
      <c r="B14" s="1" t="s">
        <v>824</v>
      </c>
      <c r="C14">
        <v>165</v>
      </c>
      <c r="D14" s="2">
        <v>45810</v>
      </c>
    </row>
    <row r="15" spans="1:4" x14ac:dyDescent="0.2">
      <c r="A15" s="1" t="s">
        <v>31</v>
      </c>
      <c r="B15" s="1" t="s">
        <v>826</v>
      </c>
      <c r="C15">
        <v>17</v>
      </c>
      <c r="D15" s="2">
        <v>45810</v>
      </c>
    </row>
    <row r="16" spans="1:4" x14ac:dyDescent="0.2">
      <c r="A16" s="1" t="s">
        <v>17</v>
      </c>
      <c r="B16" s="1" t="s">
        <v>824</v>
      </c>
      <c r="C16">
        <v>120</v>
      </c>
      <c r="D16" s="2">
        <v>45810</v>
      </c>
    </row>
    <row r="17" spans="1:4" x14ac:dyDescent="0.2">
      <c r="A17" s="1" t="s">
        <v>34</v>
      </c>
      <c r="B17" s="1" t="s">
        <v>821</v>
      </c>
      <c r="C17">
        <v>78</v>
      </c>
      <c r="D17" s="2">
        <v>45810</v>
      </c>
    </row>
    <row r="18" spans="1:4" x14ac:dyDescent="0.2">
      <c r="A18" s="1" t="s">
        <v>59</v>
      </c>
      <c r="B18" s="1" t="s">
        <v>826</v>
      </c>
      <c r="C18">
        <v>160</v>
      </c>
      <c r="D18" s="2">
        <v>45810</v>
      </c>
    </row>
    <row r="19" spans="1:4" x14ac:dyDescent="0.2">
      <c r="A19" s="1" t="s">
        <v>34</v>
      </c>
      <c r="B19" s="1" t="s">
        <v>823</v>
      </c>
      <c r="C19">
        <v>44</v>
      </c>
      <c r="D19" s="2">
        <v>45810</v>
      </c>
    </row>
    <row r="20" spans="1:4" x14ac:dyDescent="0.2">
      <c r="A20" s="1" t="s">
        <v>8</v>
      </c>
      <c r="B20" s="1" t="s">
        <v>822</v>
      </c>
      <c r="C20">
        <v>167</v>
      </c>
      <c r="D20" s="2">
        <v>45810</v>
      </c>
    </row>
    <row r="21" spans="1:4" x14ac:dyDescent="0.2">
      <c r="A21" s="1" t="s">
        <v>25</v>
      </c>
      <c r="B21" s="1" t="s">
        <v>822</v>
      </c>
      <c r="C21">
        <v>102</v>
      </c>
      <c r="D21" s="2">
        <v>45810</v>
      </c>
    </row>
    <row r="22" spans="1:4" x14ac:dyDescent="0.2">
      <c r="A22" s="1" t="s">
        <v>20</v>
      </c>
      <c r="B22" s="1" t="s">
        <v>821</v>
      </c>
      <c r="C22">
        <v>127</v>
      </c>
      <c r="D22" s="2">
        <v>45810</v>
      </c>
    </row>
    <row r="23" spans="1:4" x14ac:dyDescent="0.2">
      <c r="A23" s="1" t="s">
        <v>37</v>
      </c>
      <c r="B23" s="1" t="s">
        <v>826</v>
      </c>
      <c r="C23">
        <v>51</v>
      </c>
      <c r="D23" s="2">
        <v>45810</v>
      </c>
    </row>
    <row r="24" spans="1:4" x14ac:dyDescent="0.2">
      <c r="A24" s="1" t="s">
        <v>23</v>
      </c>
      <c r="B24" s="1" t="s">
        <v>820</v>
      </c>
      <c r="C24">
        <v>109</v>
      </c>
      <c r="D24" s="2">
        <v>45811</v>
      </c>
    </row>
    <row r="25" spans="1:4" x14ac:dyDescent="0.2">
      <c r="A25" s="1" t="s">
        <v>25</v>
      </c>
      <c r="B25" s="1" t="s">
        <v>824</v>
      </c>
      <c r="C25">
        <v>109</v>
      </c>
      <c r="D25" s="2">
        <v>45811</v>
      </c>
    </row>
    <row r="26" spans="1:4" x14ac:dyDescent="0.2">
      <c r="A26" s="1" t="s">
        <v>37</v>
      </c>
      <c r="B26" s="1" t="s">
        <v>820</v>
      </c>
      <c r="C26">
        <v>161</v>
      </c>
      <c r="D26" s="2">
        <v>45811</v>
      </c>
    </row>
    <row r="27" spans="1:4" x14ac:dyDescent="0.2">
      <c r="A27" s="1" t="s">
        <v>59</v>
      </c>
      <c r="B27" s="1" t="s">
        <v>820</v>
      </c>
      <c r="C27">
        <v>119</v>
      </c>
      <c r="D27" s="2">
        <v>45811</v>
      </c>
    </row>
    <row r="28" spans="1:4" x14ac:dyDescent="0.2">
      <c r="A28" s="1" t="s">
        <v>23</v>
      </c>
      <c r="B28" s="1" t="s">
        <v>820</v>
      </c>
      <c r="C28">
        <v>149</v>
      </c>
      <c r="D28" s="2">
        <v>45811</v>
      </c>
    </row>
    <row r="29" spans="1:4" x14ac:dyDescent="0.2">
      <c r="A29" s="1" t="s">
        <v>20</v>
      </c>
      <c r="B29" s="1" t="s">
        <v>826</v>
      </c>
      <c r="C29">
        <v>126</v>
      </c>
      <c r="D29" s="2">
        <v>45811</v>
      </c>
    </row>
    <row r="30" spans="1:4" x14ac:dyDescent="0.2">
      <c r="A30" s="1" t="s">
        <v>23</v>
      </c>
      <c r="B30" s="1" t="s">
        <v>821</v>
      </c>
      <c r="C30">
        <v>121</v>
      </c>
      <c r="D30" s="2">
        <v>45811</v>
      </c>
    </row>
    <row r="31" spans="1:4" x14ac:dyDescent="0.2">
      <c r="A31" s="1" t="s">
        <v>17</v>
      </c>
      <c r="B31" s="1" t="s">
        <v>820</v>
      </c>
      <c r="C31">
        <v>90</v>
      </c>
      <c r="D31" s="2">
        <v>45811</v>
      </c>
    </row>
    <row r="32" spans="1:4" x14ac:dyDescent="0.2">
      <c r="A32" s="1" t="s">
        <v>20</v>
      </c>
      <c r="B32" s="1" t="s">
        <v>826</v>
      </c>
      <c r="C32">
        <v>33</v>
      </c>
      <c r="D32" s="2">
        <v>45811</v>
      </c>
    </row>
    <row r="33" spans="1:4" x14ac:dyDescent="0.2">
      <c r="A33" s="1" t="s">
        <v>25</v>
      </c>
      <c r="B33" s="1" t="s">
        <v>821</v>
      </c>
      <c r="C33">
        <v>85</v>
      </c>
      <c r="D33" s="2">
        <v>45811</v>
      </c>
    </row>
    <row r="34" spans="1:4" x14ac:dyDescent="0.2">
      <c r="A34" s="1" t="s">
        <v>31</v>
      </c>
      <c r="B34" s="1" t="s">
        <v>822</v>
      </c>
      <c r="C34">
        <v>109</v>
      </c>
      <c r="D34" s="2">
        <v>45811</v>
      </c>
    </row>
    <row r="35" spans="1:4" x14ac:dyDescent="0.2">
      <c r="A35" s="1" t="s">
        <v>17</v>
      </c>
      <c r="B35" s="1" t="s">
        <v>820</v>
      </c>
      <c r="C35">
        <v>68</v>
      </c>
      <c r="D35" s="2">
        <v>45811</v>
      </c>
    </row>
    <row r="36" spans="1:4" x14ac:dyDescent="0.2">
      <c r="A36" s="1" t="s">
        <v>20</v>
      </c>
      <c r="B36" s="1" t="s">
        <v>822</v>
      </c>
      <c r="C36">
        <v>129</v>
      </c>
      <c r="D36" s="2">
        <v>45812</v>
      </c>
    </row>
    <row r="37" spans="1:4" x14ac:dyDescent="0.2">
      <c r="A37" s="1" t="s">
        <v>37</v>
      </c>
      <c r="B37" s="1" t="s">
        <v>824</v>
      </c>
      <c r="C37">
        <v>151</v>
      </c>
      <c r="D37" s="2">
        <v>45812</v>
      </c>
    </row>
    <row r="38" spans="1:4" x14ac:dyDescent="0.2">
      <c r="A38" s="1" t="s">
        <v>25</v>
      </c>
      <c r="B38" s="1" t="s">
        <v>826</v>
      </c>
      <c r="C38">
        <v>66</v>
      </c>
      <c r="D38" s="2">
        <v>45812</v>
      </c>
    </row>
    <row r="39" spans="1:4" x14ac:dyDescent="0.2">
      <c r="A39" s="1" t="s">
        <v>23</v>
      </c>
      <c r="B39" s="1" t="s">
        <v>823</v>
      </c>
      <c r="C39">
        <v>127</v>
      </c>
      <c r="D39" s="2">
        <v>45812</v>
      </c>
    </row>
    <row r="40" spans="1:4" x14ac:dyDescent="0.2">
      <c r="A40" s="1" t="s">
        <v>37</v>
      </c>
      <c r="B40" s="1" t="s">
        <v>823</v>
      </c>
      <c r="C40">
        <v>100</v>
      </c>
      <c r="D40" s="2">
        <v>45812</v>
      </c>
    </row>
    <row r="41" spans="1:4" x14ac:dyDescent="0.2">
      <c r="A41" s="1" t="s">
        <v>20</v>
      </c>
      <c r="B41" s="1" t="s">
        <v>823</v>
      </c>
      <c r="C41">
        <v>67</v>
      </c>
      <c r="D41" s="2">
        <v>45812</v>
      </c>
    </row>
    <row r="42" spans="1:4" x14ac:dyDescent="0.2">
      <c r="A42" s="1" t="s">
        <v>17</v>
      </c>
      <c r="B42" s="1" t="s">
        <v>820</v>
      </c>
      <c r="C42">
        <v>81</v>
      </c>
      <c r="D42" s="2">
        <v>45812</v>
      </c>
    </row>
    <row r="43" spans="1:4" x14ac:dyDescent="0.2">
      <c r="A43" s="1" t="s">
        <v>17</v>
      </c>
      <c r="B43" s="1" t="s">
        <v>820</v>
      </c>
      <c r="C43">
        <v>97</v>
      </c>
      <c r="D43" s="2">
        <v>45812</v>
      </c>
    </row>
    <row r="44" spans="1:4" x14ac:dyDescent="0.2">
      <c r="A44" s="1" t="s">
        <v>8</v>
      </c>
      <c r="B44" s="1" t="s">
        <v>823</v>
      </c>
      <c r="C44">
        <v>79</v>
      </c>
      <c r="D44" s="2">
        <v>45812</v>
      </c>
    </row>
    <row r="45" spans="1:4" x14ac:dyDescent="0.2">
      <c r="A45" s="1" t="s">
        <v>23</v>
      </c>
      <c r="B45" s="1" t="s">
        <v>826</v>
      </c>
      <c r="C45">
        <v>159</v>
      </c>
      <c r="D45" s="2">
        <v>45812</v>
      </c>
    </row>
    <row r="46" spans="1:4" x14ac:dyDescent="0.2">
      <c r="A46" s="1" t="s">
        <v>34</v>
      </c>
      <c r="B46" s="1" t="s">
        <v>824</v>
      </c>
      <c r="C46">
        <v>73</v>
      </c>
      <c r="D46" s="2">
        <v>45812</v>
      </c>
    </row>
    <row r="47" spans="1:4" x14ac:dyDescent="0.2">
      <c r="A47" s="1" t="s">
        <v>31</v>
      </c>
      <c r="B47" s="1" t="s">
        <v>821</v>
      </c>
      <c r="C47">
        <v>97</v>
      </c>
      <c r="D47" s="2">
        <v>45812</v>
      </c>
    </row>
    <row r="48" spans="1:4" x14ac:dyDescent="0.2">
      <c r="A48" s="1" t="s">
        <v>17</v>
      </c>
      <c r="B48" s="1" t="s">
        <v>821</v>
      </c>
      <c r="C48">
        <v>133</v>
      </c>
      <c r="D48" s="2">
        <v>45812</v>
      </c>
    </row>
    <row r="49" spans="1:4" x14ac:dyDescent="0.2">
      <c r="A49" s="1" t="s">
        <v>23</v>
      </c>
      <c r="B49" s="1" t="s">
        <v>821</v>
      </c>
      <c r="C49">
        <v>157</v>
      </c>
      <c r="D49" s="2">
        <v>45812</v>
      </c>
    </row>
    <row r="50" spans="1:4" x14ac:dyDescent="0.2">
      <c r="A50" s="1" t="s">
        <v>8</v>
      </c>
      <c r="B50" s="1" t="s">
        <v>825</v>
      </c>
      <c r="C50">
        <v>110</v>
      </c>
      <c r="D50" s="2">
        <v>45812</v>
      </c>
    </row>
    <row r="51" spans="1:4" x14ac:dyDescent="0.2">
      <c r="A51" s="1" t="s">
        <v>34</v>
      </c>
      <c r="B51" s="1" t="s">
        <v>821</v>
      </c>
      <c r="C51">
        <v>60</v>
      </c>
      <c r="D51" s="2">
        <v>45812</v>
      </c>
    </row>
    <row r="52" spans="1:4" x14ac:dyDescent="0.2">
      <c r="A52" s="1" t="s">
        <v>25</v>
      </c>
      <c r="B52" s="1" t="s">
        <v>824</v>
      </c>
      <c r="C52">
        <v>113</v>
      </c>
      <c r="D52" s="2">
        <v>45812</v>
      </c>
    </row>
    <row r="53" spans="1:4" x14ac:dyDescent="0.2">
      <c r="A53" s="1" t="s">
        <v>34</v>
      </c>
      <c r="B53" s="1" t="s">
        <v>820</v>
      </c>
      <c r="C53">
        <v>66</v>
      </c>
      <c r="D53" s="2">
        <v>45813</v>
      </c>
    </row>
    <row r="54" spans="1:4" x14ac:dyDescent="0.2">
      <c r="A54" s="1" t="s">
        <v>34</v>
      </c>
      <c r="B54" s="1" t="s">
        <v>821</v>
      </c>
      <c r="C54">
        <v>91</v>
      </c>
      <c r="D54" s="2">
        <v>45813</v>
      </c>
    </row>
    <row r="55" spans="1:4" x14ac:dyDescent="0.2">
      <c r="A55" s="1" t="s">
        <v>59</v>
      </c>
      <c r="B55" s="1" t="s">
        <v>820</v>
      </c>
      <c r="C55">
        <v>146</v>
      </c>
      <c r="D55" s="2">
        <v>45813</v>
      </c>
    </row>
    <row r="56" spans="1:4" x14ac:dyDescent="0.2">
      <c r="A56" s="1" t="s">
        <v>59</v>
      </c>
      <c r="B56" s="1" t="s">
        <v>824</v>
      </c>
      <c r="C56">
        <v>59</v>
      </c>
      <c r="D56" s="2">
        <v>45813</v>
      </c>
    </row>
    <row r="57" spans="1:4" x14ac:dyDescent="0.2">
      <c r="A57" s="1" t="s">
        <v>37</v>
      </c>
      <c r="B57" s="1" t="s">
        <v>824</v>
      </c>
      <c r="C57">
        <v>99</v>
      </c>
      <c r="D57" s="2">
        <v>45813</v>
      </c>
    </row>
    <row r="58" spans="1:4" x14ac:dyDescent="0.2">
      <c r="A58" s="1" t="s">
        <v>17</v>
      </c>
      <c r="B58" s="1" t="s">
        <v>825</v>
      </c>
      <c r="C58">
        <v>66</v>
      </c>
      <c r="D58" s="2">
        <v>45813</v>
      </c>
    </row>
    <row r="59" spans="1:4" x14ac:dyDescent="0.2">
      <c r="A59" s="1" t="s">
        <v>34</v>
      </c>
      <c r="B59" s="1" t="s">
        <v>820</v>
      </c>
      <c r="C59">
        <v>66</v>
      </c>
      <c r="D59" s="2">
        <v>45813</v>
      </c>
    </row>
    <row r="60" spans="1:4" x14ac:dyDescent="0.2">
      <c r="A60" s="1" t="s">
        <v>20</v>
      </c>
      <c r="B60" s="1" t="s">
        <v>826</v>
      </c>
      <c r="C60">
        <v>119</v>
      </c>
      <c r="D60" s="2">
        <v>45813</v>
      </c>
    </row>
    <row r="61" spans="1:4" x14ac:dyDescent="0.2">
      <c r="A61" s="1" t="s">
        <v>59</v>
      </c>
      <c r="B61" s="1" t="s">
        <v>820</v>
      </c>
      <c r="C61">
        <v>173</v>
      </c>
      <c r="D61" s="2">
        <v>45813</v>
      </c>
    </row>
    <row r="62" spans="1:4" x14ac:dyDescent="0.2">
      <c r="A62" s="1" t="s">
        <v>20</v>
      </c>
      <c r="B62" s="1" t="s">
        <v>826</v>
      </c>
      <c r="C62">
        <v>76</v>
      </c>
      <c r="D62" s="2">
        <v>45813</v>
      </c>
    </row>
    <row r="63" spans="1:4" x14ac:dyDescent="0.2">
      <c r="A63" s="1" t="s">
        <v>25</v>
      </c>
      <c r="B63" s="1" t="s">
        <v>825</v>
      </c>
      <c r="C63">
        <v>147</v>
      </c>
      <c r="D63" s="2">
        <v>45813</v>
      </c>
    </row>
    <row r="64" spans="1:4" x14ac:dyDescent="0.2">
      <c r="A64" s="1" t="s">
        <v>25</v>
      </c>
      <c r="B64" s="1" t="s">
        <v>822</v>
      </c>
      <c r="C64">
        <v>170</v>
      </c>
      <c r="D64" s="2">
        <v>45813</v>
      </c>
    </row>
    <row r="65" spans="1:4" x14ac:dyDescent="0.2">
      <c r="A65" s="1" t="s">
        <v>37</v>
      </c>
      <c r="B65" s="1" t="s">
        <v>823</v>
      </c>
      <c r="C65">
        <v>154</v>
      </c>
      <c r="D65" s="2">
        <v>45813</v>
      </c>
    </row>
    <row r="66" spans="1:4" x14ac:dyDescent="0.2">
      <c r="A66" s="1" t="s">
        <v>17</v>
      </c>
      <c r="B66" s="1" t="s">
        <v>821</v>
      </c>
      <c r="C66">
        <v>112</v>
      </c>
      <c r="D66" s="2">
        <v>45813</v>
      </c>
    </row>
    <row r="67" spans="1:4" x14ac:dyDescent="0.2">
      <c r="A67" s="1" t="s">
        <v>34</v>
      </c>
      <c r="B67" s="1" t="s">
        <v>823</v>
      </c>
      <c r="C67">
        <v>68</v>
      </c>
      <c r="D67" s="2">
        <v>45813</v>
      </c>
    </row>
    <row r="68" spans="1:4" x14ac:dyDescent="0.2">
      <c r="A68" s="1" t="s">
        <v>17</v>
      </c>
      <c r="B68" s="1" t="s">
        <v>822</v>
      </c>
      <c r="C68">
        <v>134</v>
      </c>
      <c r="D68" s="2">
        <v>45813</v>
      </c>
    </row>
    <row r="69" spans="1:4" x14ac:dyDescent="0.2">
      <c r="A69" s="1" t="s">
        <v>34</v>
      </c>
      <c r="B69" s="1" t="s">
        <v>821</v>
      </c>
      <c r="C69">
        <v>48</v>
      </c>
      <c r="D69" s="2">
        <v>45813</v>
      </c>
    </row>
    <row r="70" spans="1:4" x14ac:dyDescent="0.2">
      <c r="A70" s="1" t="s">
        <v>31</v>
      </c>
      <c r="B70" s="1" t="s">
        <v>826</v>
      </c>
      <c r="C70">
        <v>86</v>
      </c>
      <c r="D70" s="2">
        <v>45813</v>
      </c>
    </row>
    <row r="71" spans="1:4" x14ac:dyDescent="0.2">
      <c r="A71" s="1" t="s">
        <v>25</v>
      </c>
      <c r="B71" s="1" t="s">
        <v>823</v>
      </c>
      <c r="C71">
        <v>97</v>
      </c>
      <c r="D71" s="2">
        <v>45813</v>
      </c>
    </row>
    <row r="72" spans="1:4" x14ac:dyDescent="0.2">
      <c r="A72" s="1" t="s">
        <v>8</v>
      </c>
      <c r="B72" s="1" t="s">
        <v>825</v>
      </c>
      <c r="C72">
        <v>89</v>
      </c>
      <c r="D72" s="2">
        <v>45813</v>
      </c>
    </row>
    <row r="73" spans="1:4" x14ac:dyDescent="0.2">
      <c r="A73" s="1" t="s">
        <v>31</v>
      </c>
      <c r="B73" s="1" t="s">
        <v>826</v>
      </c>
      <c r="C73">
        <v>77</v>
      </c>
      <c r="D73" s="2">
        <v>45814</v>
      </c>
    </row>
    <row r="74" spans="1:4" x14ac:dyDescent="0.2">
      <c r="A74" s="1" t="s">
        <v>17</v>
      </c>
      <c r="B74" s="1" t="s">
        <v>821</v>
      </c>
      <c r="C74">
        <v>83</v>
      </c>
      <c r="D74" s="2">
        <v>45814</v>
      </c>
    </row>
    <row r="75" spans="1:4" x14ac:dyDescent="0.2">
      <c r="A75" s="1" t="s">
        <v>8</v>
      </c>
      <c r="B75" s="1" t="s">
        <v>826</v>
      </c>
      <c r="C75">
        <v>27</v>
      </c>
      <c r="D75" s="2">
        <v>45814</v>
      </c>
    </row>
    <row r="76" spans="1:4" x14ac:dyDescent="0.2">
      <c r="A76" s="1" t="s">
        <v>37</v>
      </c>
      <c r="B76" s="1" t="s">
        <v>826</v>
      </c>
      <c r="C76">
        <v>54</v>
      </c>
      <c r="D76" s="2">
        <v>45814</v>
      </c>
    </row>
    <row r="77" spans="1:4" x14ac:dyDescent="0.2">
      <c r="A77" s="1" t="s">
        <v>20</v>
      </c>
      <c r="B77" s="1" t="s">
        <v>823</v>
      </c>
      <c r="C77">
        <v>80</v>
      </c>
      <c r="D77" s="2">
        <v>45814</v>
      </c>
    </row>
    <row r="78" spans="1:4" x14ac:dyDescent="0.2">
      <c r="A78" s="1" t="s">
        <v>23</v>
      </c>
      <c r="B78" s="1" t="s">
        <v>822</v>
      </c>
      <c r="C78">
        <v>113</v>
      </c>
      <c r="D78" s="2">
        <v>45814</v>
      </c>
    </row>
    <row r="79" spans="1:4" x14ac:dyDescent="0.2">
      <c r="A79" s="1" t="s">
        <v>25</v>
      </c>
      <c r="B79" s="1" t="s">
        <v>824</v>
      </c>
      <c r="C79">
        <v>40</v>
      </c>
      <c r="D79" s="2">
        <v>45814</v>
      </c>
    </row>
    <row r="80" spans="1:4" x14ac:dyDescent="0.2">
      <c r="A80" s="1" t="s">
        <v>37</v>
      </c>
      <c r="B80" s="1" t="s">
        <v>822</v>
      </c>
      <c r="C80">
        <v>5</v>
      </c>
      <c r="D80" s="2">
        <v>45814</v>
      </c>
    </row>
    <row r="81" spans="1:4" x14ac:dyDescent="0.2">
      <c r="A81" s="1" t="s">
        <v>20</v>
      </c>
      <c r="B81" s="1" t="s">
        <v>822</v>
      </c>
      <c r="C81">
        <v>90</v>
      </c>
      <c r="D81" s="2">
        <v>45814</v>
      </c>
    </row>
    <row r="82" spans="1:4" x14ac:dyDescent="0.2">
      <c r="A82" s="1" t="s">
        <v>17</v>
      </c>
      <c r="B82" s="1" t="s">
        <v>821</v>
      </c>
      <c r="C82">
        <v>137</v>
      </c>
      <c r="D82" s="2">
        <v>45814</v>
      </c>
    </row>
    <row r="83" spans="1:4" x14ac:dyDescent="0.2">
      <c r="A83" s="1" t="s">
        <v>23</v>
      </c>
      <c r="B83" s="1" t="s">
        <v>821</v>
      </c>
      <c r="C83">
        <v>120</v>
      </c>
      <c r="D83" s="2">
        <v>45815</v>
      </c>
    </row>
    <row r="84" spans="1:4" x14ac:dyDescent="0.2">
      <c r="A84" s="1" t="s">
        <v>37</v>
      </c>
      <c r="B84" s="1" t="s">
        <v>822</v>
      </c>
      <c r="C84">
        <v>104</v>
      </c>
      <c r="D84" s="2">
        <v>45815</v>
      </c>
    </row>
    <row r="85" spans="1:4" x14ac:dyDescent="0.2">
      <c r="A85" s="1" t="s">
        <v>37</v>
      </c>
      <c r="B85" s="1" t="s">
        <v>823</v>
      </c>
      <c r="C85">
        <v>102</v>
      </c>
      <c r="D85" s="2">
        <v>45815</v>
      </c>
    </row>
    <row r="86" spans="1:4" x14ac:dyDescent="0.2">
      <c r="A86" s="1" t="s">
        <v>37</v>
      </c>
      <c r="B86" s="1" t="s">
        <v>826</v>
      </c>
      <c r="C86">
        <v>69</v>
      </c>
      <c r="D86" s="2">
        <v>45815</v>
      </c>
    </row>
    <row r="87" spans="1:4" x14ac:dyDescent="0.2">
      <c r="A87" s="1" t="s">
        <v>17</v>
      </c>
      <c r="B87" s="1" t="s">
        <v>821</v>
      </c>
      <c r="C87">
        <v>59</v>
      </c>
      <c r="D87" s="2">
        <v>45815</v>
      </c>
    </row>
    <row r="88" spans="1:4" x14ac:dyDescent="0.2">
      <c r="A88" s="1" t="s">
        <v>59</v>
      </c>
      <c r="B88" s="1" t="s">
        <v>826</v>
      </c>
      <c r="C88">
        <v>81</v>
      </c>
      <c r="D88" s="2">
        <v>45815</v>
      </c>
    </row>
    <row r="89" spans="1:4" x14ac:dyDescent="0.2">
      <c r="A89" s="1" t="s">
        <v>17</v>
      </c>
      <c r="B89" s="1" t="s">
        <v>823</v>
      </c>
      <c r="C89">
        <v>65</v>
      </c>
      <c r="D89" s="2">
        <v>45815</v>
      </c>
    </row>
    <row r="90" spans="1:4" x14ac:dyDescent="0.2">
      <c r="A90" s="1" t="s">
        <v>34</v>
      </c>
      <c r="B90" s="1" t="s">
        <v>825</v>
      </c>
      <c r="C90">
        <v>141</v>
      </c>
      <c r="D90" s="2">
        <v>45815</v>
      </c>
    </row>
    <row r="91" spans="1:4" x14ac:dyDescent="0.2">
      <c r="A91" s="1" t="s">
        <v>59</v>
      </c>
      <c r="B91" s="1" t="s">
        <v>824</v>
      </c>
      <c r="C91">
        <v>102</v>
      </c>
      <c r="D91" s="2">
        <v>45815</v>
      </c>
    </row>
    <row r="92" spans="1:4" x14ac:dyDescent="0.2">
      <c r="A92" s="1" t="s">
        <v>17</v>
      </c>
      <c r="B92" s="1" t="s">
        <v>823</v>
      </c>
      <c r="C92">
        <v>119</v>
      </c>
      <c r="D92" s="2">
        <v>45815</v>
      </c>
    </row>
    <row r="93" spans="1:4" x14ac:dyDescent="0.2">
      <c r="A93" s="1" t="s">
        <v>25</v>
      </c>
      <c r="B93" s="1" t="s">
        <v>824</v>
      </c>
      <c r="C93">
        <v>128</v>
      </c>
      <c r="D93" s="2">
        <v>45815</v>
      </c>
    </row>
    <row r="94" spans="1:4" x14ac:dyDescent="0.2">
      <c r="A94" s="1" t="s">
        <v>8</v>
      </c>
      <c r="B94" s="1" t="s">
        <v>824</v>
      </c>
      <c r="C94">
        <v>99</v>
      </c>
      <c r="D94" s="2">
        <v>45816</v>
      </c>
    </row>
    <row r="95" spans="1:4" x14ac:dyDescent="0.2">
      <c r="A95" s="1" t="s">
        <v>8</v>
      </c>
      <c r="B95" s="1" t="s">
        <v>826</v>
      </c>
      <c r="C95">
        <v>103</v>
      </c>
      <c r="D95" s="2">
        <v>45816</v>
      </c>
    </row>
    <row r="96" spans="1:4" x14ac:dyDescent="0.2">
      <c r="A96" s="1" t="s">
        <v>23</v>
      </c>
      <c r="B96" s="1" t="s">
        <v>822</v>
      </c>
      <c r="C96">
        <v>151</v>
      </c>
      <c r="D96" s="2">
        <v>45816</v>
      </c>
    </row>
    <row r="97" spans="1:4" x14ac:dyDescent="0.2">
      <c r="A97" s="1" t="s">
        <v>8</v>
      </c>
      <c r="B97" s="1" t="s">
        <v>826</v>
      </c>
      <c r="C97">
        <v>138</v>
      </c>
      <c r="D97" s="2">
        <v>45816</v>
      </c>
    </row>
    <row r="98" spans="1:4" x14ac:dyDescent="0.2">
      <c r="A98" s="1" t="s">
        <v>20</v>
      </c>
      <c r="B98" s="1" t="s">
        <v>826</v>
      </c>
      <c r="C98">
        <v>74</v>
      </c>
      <c r="D98" s="2">
        <v>45816</v>
      </c>
    </row>
    <row r="99" spans="1:4" x14ac:dyDescent="0.2">
      <c r="A99" s="1" t="s">
        <v>23</v>
      </c>
      <c r="B99" s="1" t="s">
        <v>822</v>
      </c>
      <c r="C99">
        <v>101</v>
      </c>
      <c r="D99" s="2">
        <v>45816</v>
      </c>
    </row>
    <row r="100" spans="1:4" x14ac:dyDescent="0.2">
      <c r="A100" s="1" t="s">
        <v>25</v>
      </c>
      <c r="B100" s="1" t="s">
        <v>821</v>
      </c>
      <c r="C100">
        <v>76</v>
      </c>
      <c r="D100" s="2">
        <v>45816</v>
      </c>
    </row>
    <row r="101" spans="1:4" x14ac:dyDescent="0.2">
      <c r="A101" s="1" t="s">
        <v>34</v>
      </c>
      <c r="B101" s="1" t="s">
        <v>820</v>
      </c>
      <c r="C101">
        <v>103</v>
      </c>
      <c r="D101" s="2">
        <v>45816</v>
      </c>
    </row>
    <row r="102" spans="1:4" x14ac:dyDescent="0.2">
      <c r="A102" s="1" t="s">
        <v>59</v>
      </c>
      <c r="B102" s="1" t="s">
        <v>821</v>
      </c>
      <c r="C102">
        <v>113</v>
      </c>
      <c r="D102" s="2">
        <v>45816</v>
      </c>
    </row>
    <row r="103" spans="1:4" x14ac:dyDescent="0.2">
      <c r="A103" s="1" t="s">
        <v>31</v>
      </c>
      <c r="B103" s="1" t="s">
        <v>820</v>
      </c>
      <c r="C103">
        <v>107</v>
      </c>
      <c r="D103" s="2">
        <v>45816</v>
      </c>
    </row>
    <row r="104" spans="1:4" x14ac:dyDescent="0.2">
      <c r="A104" s="1" t="s">
        <v>20</v>
      </c>
      <c r="B104" s="1" t="s">
        <v>822</v>
      </c>
      <c r="C104">
        <v>159</v>
      </c>
      <c r="D104" s="2">
        <v>45816</v>
      </c>
    </row>
    <row r="105" spans="1:4" x14ac:dyDescent="0.2">
      <c r="A105" s="1" t="s">
        <v>59</v>
      </c>
      <c r="B105" s="1" t="s">
        <v>822</v>
      </c>
      <c r="C105">
        <v>197</v>
      </c>
      <c r="D105" s="2">
        <v>45816</v>
      </c>
    </row>
    <row r="106" spans="1:4" x14ac:dyDescent="0.2">
      <c r="A106" s="1" t="s">
        <v>34</v>
      </c>
      <c r="B106" s="1" t="s">
        <v>826</v>
      </c>
      <c r="C106">
        <v>166</v>
      </c>
      <c r="D106" s="2">
        <v>45816</v>
      </c>
    </row>
    <row r="107" spans="1:4" x14ac:dyDescent="0.2">
      <c r="A107" s="1" t="s">
        <v>34</v>
      </c>
      <c r="B107" s="1" t="s">
        <v>821</v>
      </c>
      <c r="C107">
        <v>86</v>
      </c>
      <c r="D107" s="2">
        <v>45816</v>
      </c>
    </row>
    <row r="108" spans="1:4" x14ac:dyDescent="0.2">
      <c r="A108" s="1" t="s">
        <v>59</v>
      </c>
      <c r="B108" s="1" t="s">
        <v>825</v>
      </c>
      <c r="C108">
        <v>146</v>
      </c>
      <c r="D108" s="2">
        <v>45816</v>
      </c>
    </row>
    <row r="109" spans="1:4" x14ac:dyDescent="0.2">
      <c r="A109" s="1" t="s">
        <v>31</v>
      </c>
      <c r="B109" s="1" t="s">
        <v>826</v>
      </c>
      <c r="C109">
        <v>112</v>
      </c>
      <c r="D109" s="2">
        <v>45817</v>
      </c>
    </row>
    <row r="110" spans="1:4" x14ac:dyDescent="0.2">
      <c r="A110" s="1" t="s">
        <v>20</v>
      </c>
      <c r="B110" s="1" t="s">
        <v>822</v>
      </c>
      <c r="C110">
        <v>103</v>
      </c>
      <c r="D110" s="2">
        <v>45817</v>
      </c>
    </row>
    <row r="111" spans="1:4" x14ac:dyDescent="0.2">
      <c r="A111" s="1" t="s">
        <v>20</v>
      </c>
      <c r="B111" s="1" t="s">
        <v>824</v>
      </c>
      <c r="C111">
        <v>100</v>
      </c>
      <c r="D111" s="2">
        <v>45817</v>
      </c>
    </row>
    <row r="112" spans="1:4" x14ac:dyDescent="0.2">
      <c r="A112" s="1" t="s">
        <v>37</v>
      </c>
      <c r="B112" s="1" t="s">
        <v>824</v>
      </c>
      <c r="C112">
        <v>125</v>
      </c>
      <c r="D112" s="2">
        <v>45817</v>
      </c>
    </row>
    <row r="113" spans="1:4" x14ac:dyDescent="0.2">
      <c r="A113" s="1" t="s">
        <v>34</v>
      </c>
      <c r="B113" s="1" t="s">
        <v>823</v>
      </c>
      <c r="C113">
        <v>43</v>
      </c>
      <c r="D113" s="2">
        <v>45817</v>
      </c>
    </row>
    <row r="114" spans="1:4" x14ac:dyDescent="0.2">
      <c r="A114" s="1" t="s">
        <v>20</v>
      </c>
      <c r="B114" s="1" t="s">
        <v>821</v>
      </c>
      <c r="C114">
        <v>137</v>
      </c>
      <c r="D114" s="2">
        <v>45817</v>
      </c>
    </row>
    <row r="115" spans="1:4" x14ac:dyDescent="0.2">
      <c r="A115" s="1" t="s">
        <v>37</v>
      </c>
      <c r="B115" s="1" t="s">
        <v>821</v>
      </c>
      <c r="C115">
        <v>34</v>
      </c>
      <c r="D115" s="2">
        <v>45817</v>
      </c>
    </row>
    <row r="116" spans="1:4" x14ac:dyDescent="0.2">
      <c r="A116" s="1" t="s">
        <v>37</v>
      </c>
      <c r="B116" s="1" t="s">
        <v>820</v>
      </c>
      <c r="C116">
        <v>65</v>
      </c>
      <c r="D116" s="2">
        <v>45817</v>
      </c>
    </row>
    <row r="117" spans="1:4" x14ac:dyDescent="0.2">
      <c r="A117" s="1" t="s">
        <v>34</v>
      </c>
      <c r="B117" s="1" t="s">
        <v>824</v>
      </c>
      <c r="C117">
        <v>119</v>
      </c>
      <c r="D117" s="2">
        <v>45817</v>
      </c>
    </row>
    <row r="118" spans="1:4" x14ac:dyDescent="0.2">
      <c r="A118" s="1" t="s">
        <v>23</v>
      </c>
      <c r="B118" s="1" t="s">
        <v>823</v>
      </c>
      <c r="C118">
        <v>124</v>
      </c>
      <c r="D118" s="2">
        <v>45818</v>
      </c>
    </row>
    <row r="119" spans="1:4" x14ac:dyDescent="0.2">
      <c r="A119" s="1" t="s">
        <v>37</v>
      </c>
      <c r="B119" s="1" t="s">
        <v>824</v>
      </c>
      <c r="C119">
        <v>124</v>
      </c>
      <c r="D119" s="2">
        <v>45818</v>
      </c>
    </row>
    <row r="120" spans="1:4" x14ac:dyDescent="0.2">
      <c r="A120" s="1" t="s">
        <v>59</v>
      </c>
      <c r="B120" s="1" t="s">
        <v>825</v>
      </c>
      <c r="C120">
        <v>81</v>
      </c>
      <c r="D120" s="2">
        <v>45818</v>
      </c>
    </row>
    <row r="121" spans="1:4" x14ac:dyDescent="0.2">
      <c r="A121" s="1" t="s">
        <v>25</v>
      </c>
      <c r="B121" s="1" t="s">
        <v>821</v>
      </c>
      <c r="C121">
        <v>42</v>
      </c>
      <c r="D121" s="2">
        <v>45818</v>
      </c>
    </row>
    <row r="122" spans="1:4" x14ac:dyDescent="0.2">
      <c r="A122" s="1" t="s">
        <v>34</v>
      </c>
      <c r="B122" s="1" t="s">
        <v>825</v>
      </c>
      <c r="C122">
        <v>69</v>
      </c>
      <c r="D122" s="2">
        <v>45818</v>
      </c>
    </row>
    <row r="123" spans="1:4" x14ac:dyDescent="0.2">
      <c r="A123" s="1" t="s">
        <v>8</v>
      </c>
      <c r="B123" s="1" t="s">
        <v>824</v>
      </c>
      <c r="C123">
        <v>106</v>
      </c>
      <c r="D123" s="2">
        <v>45818</v>
      </c>
    </row>
    <row r="124" spans="1:4" x14ac:dyDescent="0.2">
      <c r="A124" s="1" t="s">
        <v>20</v>
      </c>
      <c r="B124" s="1" t="s">
        <v>823</v>
      </c>
      <c r="C124">
        <v>31</v>
      </c>
      <c r="D124" s="2">
        <v>45818</v>
      </c>
    </row>
    <row r="125" spans="1:4" x14ac:dyDescent="0.2">
      <c r="A125" s="1" t="s">
        <v>8</v>
      </c>
      <c r="B125" s="1" t="s">
        <v>824</v>
      </c>
      <c r="C125">
        <v>61</v>
      </c>
      <c r="D125" s="2">
        <v>45818</v>
      </c>
    </row>
    <row r="126" spans="1:4" x14ac:dyDescent="0.2">
      <c r="A126" s="1" t="s">
        <v>23</v>
      </c>
      <c r="B126" s="1" t="s">
        <v>820</v>
      </c>
      <c r="C126">
        <v>56</v>
      </c>
      <c r="D126" s="2">
        <v>45818</v>
      </c>
    </row>
    <row r="127" spans="1:4" x14ac:dyDescent="0.2">
      <c r="A127" s="1" t="s">
        <v>34</v>
      </c>
      <c r="B127" s="1" t="s">
        <v>820</v>
      </c>
      <c r="C127">
        <v>110</v>
      </c>
      <c r="D127" s="2">
        <v>45818</v>
      </c>
    </row>
    <row r="128" spans="1:4" x14ac:dyDescent="0.2">
      <c r="A128" s="1" t="s">
        <v>8</v>
      </c>
      <c r="B128" s="1" t="s">
        <v>826</v>
      </c>
      <c r="C128">
        <v>33</v>
      </c>
      <c r="D128" s="2">
        <v>45818</v>
      </c>
    </row>
    <row r="129" spans="1:4" x14ac:dyDescent="0.2">
      <c r="A129" s="1" t="s">
        <v>25</v>
      </c>
      <c r="B129" s="1" t="s">
        <v>820</v>
      </c>
      <c r="C129">
        <v>110</v>
      </c>
      <c r="D129" s="2">
        <v>45818</v>
      </c>
    </row>
    <row r="130" spans="1:4" x14ac:dyDescent="0.2">
      <c r="A130" s="1" t="s">
        <v>25</v>
      </c>
      <c r="B130" s="1" t="s">
        <v>823</v>
      </c>
      <c r="C130">
        <v>82</v>
      </c>
      <c r="D130" s="2">
        <v>45818</v>
      </c>
    </row>
    <row r="131" spans="1:4" x14ac:dyDescent="0.2">
      <c r="A131" s="1" t="s">
        <v>34</v>
      </c>
      <c r="B131" s="1" t="s">
        <v>822</v>
      </c>
      <c r="C131">
        <v>130</v>
      </c>
      <c r="D131" s="2">
        <v>45818</v>
      </c>
    </row>
    <row r="132" spans="1:4" x14ac:dyDescent="0.2">
      <c r="A132" s="1" t="s">
        <v>31</v>
      </c>
      <c r="B132" s="1" t="s">
        <v>823</v>
      </c>
      <c r="C132">
        <v>50</v>
      </c>
      <c r="D132" s="2">
        <v>45818</v>
      </c>
    </row>
    <row r="133" spans="1:4" x14ac:dyDescent="0.2">
      <c r="A133" s="1" t="s">
        <v>23</v>
      </c>
      <c r="B133" s="1" t="s">
        <v>825</v>
      </c>
      <c r="C133">
        <v>98</v>
      </c>
      <c r="D133" s="2">
        <v>45818</v>
      </c>
    </row>
    <row r="134" spans="1:4" x14ac:dyDescent="0.2">
      <c r="A134" s="1" t="s">
        <v>31</v>
      </c>
      <c r="B134" s="1" t="s">
        <v>824</v>
      </c>
      <c r="C134">
        <v>85</v>
      </c>
      <c r="D134" s="2">
        <v>45818</v>
      </c>
    </row>
    <row r="135" spans="1:4" x14ac:dyDescent="0.2">
      <c r="A135" s="1" t="s">
        <v>25</v>
      </c>
      <c r="B135" s="1" t="s">
        <v>825</v>
      </c>
      <c r="C135">
        <v>183</v>
      </c>
      <c r="D135" s="2">
        <v>45819</v>
      </c>
    </row>
    <row r="136" spans="1:4" x14ac:dyDescent="0.2">
      <c r="A136" s="1" t="s">
        <v>34</v>
      </c>
      <c r="B136" s="1" t="s">
        <v>824</v>
      </c>
      <c r="C136">
        <v>99</v>
      </c>
      <c r="D136" s="2">
        <v>45819</v>
      </c>
    </row>
    <row r="137" spans="1:4" x14ac:dyDescent="0.2">
      <c r="A137" s="1" t="s">
        <v>8</v>
      </c>
      <c r="B137" s="1" t="s">
        <v>823</v>
      </c>
      <c r="C137">
        <v>76</v>
      </c>
      <c r="D137" s="2">
        <v>45819</v>
      </c>
    </row>
    <row r="138" spans="1:4" x14ac:dyDescent="0.2">
      <c r="A138" s="1" t="s">
        <v>59</v>
      </c>
      <c r="B138" s="1" t="s">
        <v>823</v>
      </c>
      <c r="C138">
        <v>154</v>
      </c>
      <c r="D138" s="2">
        <v>45819</v>
      </c>
    </row>
    <row r="139" spans="1:4" x14ac:dyDescent="0.2">
      <c r="A139" s="1" t="s">
        <v>59</v>
      </c>
      <c r="B139" s="1" t="s">
        <v>820</v>
      </c>
      <c r="C139">
        <v>29</v>
      </c>
      <c r="D139" s="2">
        <v>45819</v>
      </c>
    </row>
    <row r="140" spans="1:4" x14ac:dyDescent="0.2">
      <c r="A140" s="1" t="s">
        <v>59</v>
      </c>
      <c r="B140" s="1" t="s">
        <v>821</v>
      </c>
      <c r="C140">
        <v>78</v>
      </c>
      <c r="D140" s="2">
        <v>45819</v>
      </c>
    </row>
    <row r="141" spans="1:4" x14ac:dyDescent="0.2">
      <c r="A141" s="1" t="s">
        <v>20</v>
      </c>
      <c r="B141" s="1" t="s">
        <v>823</v>
      </c>
      <c r="C141">
        <v>58</v>
      </c>
      <c r="D141" s="2">
        <v>45819</v>
      </c>
    </row>
    <row r="142" spans="1:4" x14ac:dyDescent="0.2">
      <c r="A142" s="1" t="s">
        <v>23</v>
      </c>
      <c r="B142" s="1" t="s">
        <v>825</v>
      </c>
      <c r="C142">
        <v>52</v>
      </c>
      <c r="D142" s="2">
        <v>45819</v>
      </c>
    </row>
    <row r="143" spans="1:4" x14ac:dyDescent="0.2">
      <c r="A143" s="1" t="s">
        <v>17</v>
      </c>
      <c r="B143" s="1" t="s">
        <v>826</v>
      </c>
      <c r="C143">
        <v>108</v>
      </c>
      <c r="D143" s="2">
        <v>45819</v>
      </c>
    </row>
    <row r="144" spans="1:4" x14ac:dyDescent="0.2">
      <c r="A144" s="1" t="s">
        <v>20</v>
      </c>
      <c r="B144" s="1" t="s">
        <v>822</v>
      </c>
      <c r="C144">
        <v>94</v>
      </c>
      <c r="D144" s="2">
        <v>45819</v>
      </c>
    </row>
    <row r="145" spans="1:4" x14ac:dyDescent="0.2">
      <c r="A145" s="1" t="s">
        <v>23</v>
      </c>
      <c r="B145" s="1" t="s">
        <v>823</v>
      </c>
      <c r="C145">
        <v>105</v>
      </c>
      <c r="D145" s="2">
        <v>45819</v>
      </c>
    </row>
    <row r="146" spans="1:4" x14ac:dyDescent="0.2">
      <c r="A146" s="1" t="s">
        <v>34</v>
      </c>
      <c r="B146" s="1" t="s">
        <v>825</v>
      </c>
      <c r="C146">
        <v>143</v>
      </c>
      <c r="D146" s="2">
        <v>45819</v>
      </c>
    </row>
    <row r="147" spans="1:4" x14ac:dyDescent="0.2">
      <c r="A147" s="1" t="s">
        <v>31</v>
      </c>
      <c r="B147" s="1" t="s">
        <v>820</v>
      </c>
      <c r="C147">
        <v>92</v>
      </c>
      <c r="D147" s="2">
        <v>45819</v>
      </c>
    </row>
    <row r="148" spans="1:4" x14ac:dyDescent="0.2">
      <c r="A148" s="1" t="s">
        <v>8</v>
      </c>
      <c r="B148" s="1" t="s">
        <v>825</v>
      </c>
      <c r="C148">
        <v>132</v>
      </c>
      <c r="D148" s="2">
        <v>45820</v>
      </c>
    </row>
    <row r="149" spans="1:4" x14ac:dyDescent="0.2">
      <c r="A149" s="1" t="s">
        <v>34</v>
      </c>
      <c r="B149" s="1" t="s">
        <v>826</v>
      </c>
      <c r="C149">
        <v>139</v>
      </c>
      <c r="D149" s="2">
        <v>45820</v>
      </c>
    </row>
    <row r="150" spans="1:4" x14ac:dyDescent="0.2">
      <c r="A150" s="1" t="s">
        <v>37</v>
      </c>
      <c r="B150" s="1" t="s">
        <v>826</v>
      </c>
      <c r="C150">
        <v>120</v>
      </c>
      <c r="D150" s="2">
        <v>45820</v>
      </c>
    </row>
    <row r="151" spans="1:4" x14ac:dyDescent="0.2">
      <c r="A151" s="1" t="s">
        <v>59</v>
      </c>
      <c r="B151" s="1" t="s">
        <v>825</v>
      </c>
      <c r="C151">
        <v>95</v>
      </c>
      <c r="D151" s="2">
        <v>45820</v>
      </c>
    </row>
    <row r="152" spans="1:4" x14ac:dyDescent="0.2">
      <c r="A152" s="1" t="s">
        <v>25</v>
      </c>
      <c r="B152" s="1" t="s">
        <v>821</v>
      </c>
      <c r="C152">
        <v>186</v>
      </c>
      <c r="D152" s="2">
        <v>45820</v>
      </c>
    </row>
    <row r="153" spans="1:4" x14ac:dyDescent="0.2">
      <c r="A153" s="1" t="s">
        <v>59</v>
      </c>
      <c r="B153" s="1" t="s">
        <v>820</v>
      </c>
      <c r="C153">
        <v>187</v>
      </c>
      <c r="D153" s="2">
        <v>45820</v>
      </c>
    </row>
    <row r="154" spans="1:4" x14ac:dyDescent="0.2">
      <c r="A154" s="1" t="s">
        <v>23</v>
      </c>
      <c r="B154" s="1" t="s">
        <v>821</v>
      </c>
      <c r="C154">
        <v>98</v>
      </c>
      <c r="D154" s="2">
        <v>45820</v>
      </c>
    </row>
    <row r="155" spans="1:4" x14ac:dyDescent="0.2">
      <c r="A155" s="1" t="s">
        <v>20</v>
      </c>
      <c r="B155" s="1" t="s">
        <v>823</v>
      </c>
      <c r="C155">
        <v>47</v>
      </c>
      <c r="D155" s="2">
        <v>45820</v>
      </c>
    </row>
    <row r="156" spans="1:4" x14ac:dyDescent="0.2">
      <c r="A156" s="1" t="s">
        <v>25</v>
      </c>
      <c r="B156" s="1" t="s">
        <v>825</v>
      </c>
      <c r="C156">
        <v>97</v>
      </c>
      <c r="D156" s="2">
        <v>45820</v>
      </c>
    </row>
    <row r="157" spans="1:4" x14ac:dyDescent="0.2">
      <c r="A157" s="1" t="s">
        <v>31</v>
      </c>
      <c r="B157" s="1" t="s">
        <v>820</v>
      </c>
      <c r="C157">
        <v>65</v>
      </c>
      <c r="D157" s="2">
        <v>45820</v>
      </c>
    </row>
    <row r="158" spans="1:4" x14ac:dyDescent="0.2">
      <c r="A158" s="1" t="s">
        <v>20</v>
      </c>
      <c r="B158" s="1" t="s">
        <v>821</v>
      </c>
      <c r="C158">
        <v>146</v>
      </c>
      <c r="D158" s="2">
        <v>45820</v>
      </c>
    </row>
    <row r="159" spans="1:4" x14ac:dyDescent="0.2">
      <c r="A159" s="1" t="s">
        <v>34</v>
      </c>
      <c r="B159" s="1" t="s">
        <v>822</v>
      </c>
      <c r="C159">
        <v>109</v>
      </c>
      <c r="D159" s="2">
        <v>45820</v>
      </c>
    </row>
    <row r="160" spans="1:4" x14ac:dyDescent="0.2">
      <c r="A160" s="1" t="s">
        <v>20</v>
      </c>
      <c r="B160" s="1" t="s">
        <v>821</v>
      </c>
      <c r="C160">
        <v>161</v>
      </c>
      <c r="D160" s="2">
        <v>45820</v>
      </c>
    </row>
    <row r="161" spans="1:4" x14ac:dyDescent="0.2">
      <c r="A161" s="1" t="s">
        <v>23</v>
      </c>
      <c r="B161" s="1" t="s">
        <v>826</v>
      </c>
      <c r="C161">
        <v>93</v>
      </c>
      <c r="D161" s="2">
        <v>45820</v>
      </c>
    </row>
    <row r="162" spans="1:4" x14ac:dyDescent="0.2">
      <c r="A162" s="1" t="s">
        <v>25</v>
      </c>
      <c r="B162" s="1" t="s">
        <v>823</v>
      </c>
      <c r="C162">
        <v>132</v>
      </c>
      <c r="D162" s="2">
        <v>45820</v>
      </c>
    </row>
    <row r="163" spans="1:4" x14ac:dyDescent="0.2">
      <c r="A163" s="1" t="s">
        <v>20</v>
      </c>
      <c r="B163" s="1" t="s">
        <v>822</v>
      </c>
      <c r="C163">
        <v>100</v>
      </c>
      <c r="D163" s="2">
        <v>45820</v>
      </c>
    </row>
    <row r="164" spans="1:4" x14ac:dyDescent="0.2">
      <c r="A164" s="1" t="s">
        <v>31</v>
      </c>
      <c r="B164" s="1" t="s">
        <v>824</v>
      </c>
      <c r="C164">
        <v>149</v>
      </c>
      <c r="D164" s="2">
        <v>45820</v>
      </c>
    </row>
    <row r="165" spans="1:4" x14ac:dyDescent="0.2">
      <c r="A165" s="1" t="s">
        <v>20</v>
      </c>
      <c r="B165" s="1" t="s">
        <v>824</v>
      </c>
      <c r="C165">
        <v>127</v>
      </c>
      <c r="D165" s="2">
        <v>45821</v>
      </c>
    </row>
    <row r="166" spans="1:4" x14ac:dyDescent="0.2">
      <c r="A166" s="1" t="s">
        <v>23</v>
      </c>
      <c r="B166" s="1" t="s">
        <v>825</v>
      </c>
      <c r="C166">
        <v>64</v>
      </c>
      <c r="D166" s="2">
        <v>45821</v>
      </c>
    </row>
    <row r="167" spans="1:4" x14ac:dyDescent="0.2">
      <c r="A167" s="1" t="s">
        <v>25</v>
      </c>
      <c r="B167" s="1" t="s">
        <v>826</v>
      </c>
      <c r="C167">
        <v>112</v>
      </c>
      <c r="D167" s="2">
        <v>45821</v>
      </c>
    </row>
    <row r="168" spans="1:4" x14ac:dyDescent="0.2">
      <c r="A168" s="1" t="s">
        <v>37</v>
      </c>
      <c r="B168" s="1" t="s">
        <v>825</v>
      </c>
      <c r="C168">
        <v>108</v>
      </c>
      <c r="D168" s="2">
        <v>45821</v>
      </c>
    </row>
    <row r="169" spans="1:4" x14ac:dyDescent="0.2">
      <c r="A169" s="1" t="s">
        <v>25</v>
      </c>
      <c r="B169" s="1" t="s">
        <v>823</v>
      </c>
      <c r="C169">
        <v>77</v>
      </c>
      <c r="D169" s="2">
        <v>45821</v>
      </c>
    </row>
    <row r="170" spans="1:4" x14ac:dyDescent="0.2">
      <c r="A170" s="1" t="s">
        <v>17</v>
      </c>
      <c r="B170" s="1" t="s">
        <v>824</v>
      </c>
      <c r="C170">
        <v>68</v>
      </c>
      <c r="D170" s="2">
        <v>45821</v>
      </c>
    </row>
    <row r="171" spans="1:4" x14ac:dyDescent="0.2">
      <c r="A171" s="1" t="s">
        <v>20</v>
      </c>
      <c r="B171" s="1" t="s">
        <v>826</v>
      </c>
      <c r="C171">
        <v>124</v>
      </c>
      <c r="D171" s="2">
        <v>45821</v>
      </c>
    </row>
    <row r="172" spans="1:4" x14ac:dyDescent="0.2">
      <c r="A172" s="1" t="s">
        <v>31</v>
      </c>
      <c r="B172" s="1" t="s">
        <v>824</v>
      </c>
      <c r="C172">
        <v>79</v>
      </c>
      <c r="D172" s="2">
        <v>45822</v>
      </c>
    </row>
    <row r="173" spans="1:4" x14ac:dyDescent="0.2">
      <c r="A173" s="1" t="s">
        <v>25</v>
      </c>
      <c r="B173" s="1" t="s">
        <v>825</v>
      </c>
      <c r="C173">
        <v>159</v>
      </c>
      <c r="D173" s="2">
        <v>45822</v>
      </c>
    </row>
    <row r="174" spans="1:4" x14ac:dyDescent="0.2">
      <c r="A174" s="1" t="s">
        <v>37</v>
      </c>
      <c r="B174" s="1" t="s">
        <v>825</v>
      </c>
      <c r="C174">
        <v>175</v>
      </c>
      <c r="D174" s="2">
        <v>45822</v>
      </c>
    </row>
    <row r="175" spans="1:4" x14ac:dyDescent="0.2">
      <c r="A175" s="1" t="s">
        <v>59</v>
      </c>
      <c r="B175" s="1" t="s">
        <v>822</v>
      </c>
      <c r="C175">
        <v>162</v>
      </c>
      <c r="D175" s="2">
        <v>45822</v>
      </c>
    </row>
    <row r="176" spans="1:4" x14ac:dyDescent="0.2">
      <c r="A176" s="1" t="s">
        <v>37</v>
      </c>
      <c r="B176" s="1" t="s">
        <v>826</v>
      </c>
      <c r="C176">
        <v>154</v>
      </c>
      <c r="D176" s="2">
        <v>45822</v>
      </c>
    </row>
    <row r="177" spans="1:4" x14ac:dyDescent="0.2">
      <c r="A177" s="1" t="s">
        <v>17</v>
      </c>
      <c r="B177" s="1" t="s">
        <v>823</v>
      </c>
      <c r="C177">
        <v>76</v>
      </c>
      <c r="D177" s="2">
        <v>45822</v>
      </c>
    </row>
    <row r="178" spans="1:4" x14ac:dyDescent="0.2">
      <c r="A178" s="1" t="s">
        <v>31</v>
      </c>
      <c r="B178" s="1" t="s">
        <v>820</v>
      </c>
      <c r="C178">
        <v>125</v>
      </c>
      <c r="D178" s="2">
        <v>45822</v>
      </c>
    </row>
    <row r="179" spans="1:4" x14ac:dyDescent="0.2">
      <c r="A179" s="1" t="s">
        <v>8</v>
      </c>
      <c r="B179" s="1" t="s">
        <v>824</v>
      </c>
      <c r="C179">
        <v>25</v>
      </c>
      <c r="D179" s="2">
        <v>45822</v>
      </c>
    </row>
    <row r="180" spans="1:4" x14ac:dyDescent="0.2">
      <c r="A180" s="1" t="s">
        <v>25</v>
      </c>
      <c r="B180" s="1" t="s">
        <v>821</v>
      </c>
      <c r="C180">
        <v>69</v>
      </c>
      <c r="D180" s="2">
        <v>45822</v>
      </c>
    </row>
    <row r="181" spans="1:4" x14ac:dyDescent="0.2">
      <c r="A181" s="1" t="s">
        <v>17</v>
      </c>
      <c r="B181" s="1" t="s">
        <v>825</v>
      </c>
      <c r="C181">
        <v>111</v>
      </c>
      <c r="D181" s="2">
        <v>45822</v>
      </c>
    </row>
    <row r="182" spans="1:4" x14ac:dyDescent="0.2">
      <c r="A182" s="1" t="s">
        <v>31</v>
      </c>
      <c r="B182" s="1" t="s">
        <v>821</v>
      </c>
      <c r="C182">
        <v>116</v>
      </c>
      <c r="D182" s="2">
        <v>45823</v>
      </c>
    </row>
    <row r="183" spans="1:4" x14ac:dyDescent="0.2">
      <c r="A183" s="1" t="s">
        <v>37</v>
      </c>
      <c r="B183" s="1" t="s">
        <v>826</v>
      </c>
      <c r="C183">
        <v>91</v>
      </c>
      <c r="D183" s="2">
        <v>45823</v>
      </c>
    </row>
    <row r="184" spans="1:4" x14ac:dyDescent="0.2">
      <c r="A184" s="1" t="s">
        <v>23</v>
      </c>
      <c r="B184" s="1" t="s">
        <v>821</v>
      </c>
      <c r="C184">
        <v>103</v>
      </c>
      <c r="D184" s="2">
        <v>45823</v>
      </c>
    </row>
    <row r="185" spans="1:4" x14ac:dyDescent="0.2">
      <c r="A185" s="1" t="s">
        <v>8</v>
      </c>
      <c r="B185" s="1" t="s">
        <v>822</v>
      </c>
      <c r="C185">
        <v>64</v>
      </c>
      <c r="D185" s="2">
        <v>45823</v>
      </c>
    </row>
    <row r="186" spans="1:4" x14ac:dyDescent="0.2">
      <c r="A186" s="1" t="s">
        <v>31</v>
      </c>
      <c r="B186" s="1" t="s">
        <v>826</v>
      </c>
      <c r="C186">
        <v>113</v>
      </c>
      <c r="D186" s="2">
        <v>45823</v>
      </c>
    </row>
    <row r="187" spans="1:4" x14ac:dyDescent="0.2">
      <c r="A187" s="1" t="s">
        <v>31</v>
      </c>
      <c r="B187" s="1" t="s">
        <v>825</v>
      </c>
      <c r="C187">
        <v>114</v>
      </c>
      <c r="D187" s="2">
        <v>45823</v>
      </c>
    </row>
    <row r="188" spans="1:4" x14ac:dyDescent="0.2">
      <c r="A188" s="1" t="s">
        <v>37</v>
      </c>
      <c r="B188" s="1" t="s">
        <v>825</v>
      </c>
      <c r="C188">
        <v>68</v>
      </c>
      <c r="D188" s="2">
        <v>45823</v>
      </c>
    </row>
    <row r="189" spans="1:4" x14ac:dyDescent="0.2">
      <c r="A189" s="1" t="s">
        <v>37</v>
      </c>
      <c r="B189" s="1" t="s">
        <v>823</v>
      </c>
      <c r="C189">
        <v>123</v>
      </c>
      <c r="D189" s="2">
        <v>45823</v>
      </c>
    </row>
    <row r="190" spans="1:4" x14ac:dyDescent="0.2">
      <c r="A190" s="1" t="s">
        <v>8</v>
      </c>
      <c r="B190" s="1" t="s">
        <v>825</v>
      </c>
      <c r="C190">
        <v>93</v>
      </c>
      <c r="D190" s="2">
        <v>45823</v>
      </c>
    </row>
    <row r="191" spans="1:4" x14ac:dyDescent="0.2">
      <c r="A191" s="1" t="s">
        <v>20</v>
      </c>
      <c r="B191" s="1" t="s">
        <v>822</v>
      </c>
      <c r="C191">
        <v>86</v>
      </c>
      <c r="D191" s="2">
        <v>45823</v>
      </c>
    </row>
    <row r="192" spans="1:4" x14ac:dyDescent="0.2">
      <c r="A192" s="1" t="s">
        <v>17</v>
      </c>
      <c r="B192" s="1" t="s">
        <v>825</v>
      </c>
      <c r="C192">
        <v>148</v>
      </c>
      <c r="D192" s="2">
        <v>45823</v>
      </c>
    </row>
    <row r="193" spans="1:4" x14ac:dyDescent="0.2">
      <c r="A193" s="1" t="s">
        <v>17</v>
      </c>
      <c r="B193" s="1" t="s">
        <v>822</v>
      </c>
      <c r="C193">
        <v>113</v>
      </c>
      <c r="D193" s="2">
        <v>45823</v>
      </c>
    </row>
    <row r="194" spans="1:4" x14ac:dyDescent="0.2">
      <c r="A194" s="1" t="s">
        <v>59</v>
      </c>
      <c r="B194" s="1" t="s">
        <v>820</v>
      </c>
      <c r="C194">
        <v>97</v>
      </c>
      <c r="D194" s="2">
        <v>45823</v>
      </c>
    </row>
    <row r="195" spans="1:4" x14ac:dyDescent="0.2">
      <c r="A195" s="1" t="s">
        <v>23</v>
      </c>
      <c r="B195" s="1" t="s">
        <v>822</v>
      </c>
      <c r="C195">
        <v>32</v>
      </c>
      <c r="D195" s="2">
        <v>45823</v>
      </c>
    </row>
    <row r="196" spans="1:4" x14ac:dyDescent="0.2">
      <c r="A196" s="1" t="s">
        <v>20</v>
      </c>
      <c r="B196" s="1" t="s">
        <v>822</v>
      </c>
      <c r="C196">
        <v>82</v>
      </c>
      <c r="D196" s="2">
        <v>45823</v>
      </c>
    </row>
    <row r="197" spans="1:4" x14ac:dyDescent="0.2">
      <c r="A197" s="1" t="s">
        <v>37</v>
      </c>
      <c r="B197" s="1" t="s">
        <v>821</v>
      </c>
      <c r="C197">
        <v>51</v>
      </c>
      <c r="D197" s="2">
        <v>45824</v>
      </c>
    </row>
    <row r="198" spans="1:4" x14ac:dyDescent="0.2">
      <c r="A198" s="1" t="s">
        <v>37</v>
      </c>
      <c r="B198" s="1" t="s">
        <v>821</v>
      </c>
      <c r="C198">
        <v>67</v>
      </c>
      <c r="D198" s="2">
        <v>45824</v>
      </c>
    </row>
    <row r="199" spans="1:4" x14ac:dyDescent="0.2">
      <c r="A199" s="1" t="s">
        <v>34</v>
      </c>
      <c r="B199" s="1" t="s">
        <v>820</v>
      </c>
      <c r="C199">
        <v>76</v>
      </c>
      <c r="D199" s="2">
        <v>45824</v>
      </c>
    </row>
    <row r="200" spans="1:4" x14ac:dyDescent="0.2">
      <c r="A200" s="1" t="s">
        <v>17</v>
      </c>
      <c r="B200" s="1" t="s">
        <v>825</v>
      </c>
      <c r="C200">
        <v>124</v>
      </c>
      <c r="D200" s="2">
        <v>45824</v>
      </c>
    </row>
    <row r="201" spans="1:4" x14ac:dyDescent="0.2">
      <c r="A201" s="1" t="s">
        <v>25</v>
      </c>
      <c r="B201" s="1" t="s">
        <v>821</v>
      </c>
      <c r="C201">
        <v>144</v>
      </c>
      <c r="D201" s="2">
        <v>45824</v>
      </c>
    </row>
    <row r="202" spans="1:4" x14ac:dyDescent="0.2">
      <c r="A202" s="1" t="s">
        <v>23</v>
      </c>
      <c r="B202" s="1" t="s">
        <v>825</v>
      </c>
      <c r="C202">
        <v>69</v>
      </c>
      <c r="D202" s="2">
        <v>45824</v>
      </c>
    </row>
    <row r="203" spans="1:4" x14ac:dyDescent="0.2">
      <c r="A203" s="1" t="s">
        <v>37</v>
      </c>
      <c r="B203" s="1" t="s">
        <v>826</v>
      </c>
      <c r="C203">
        <v>135</v>
      </c>
      <c r="D203" s="2">
        <v>45824</v>
      </c>
    </row>
    <row r="204" spans="1:4" x14ac:dyDescent="0.2">
      <c r="A204" s="1" t="s">
        <v>23</v>
      </c>
      <c r="B204" s="1" t="s">
        <v>821</v>
      </c>
      <c r="C204">
        <v>92</v>
      </c>
      <c r="D204" s="2">
        <v>45824</v>
      </c>
    </row>
    <row r="205" spans="1:4" x14ac:dyDescent="0.2">
      <c r="A205" s="1" t="s">
        <v>31</v>
      </c>
      <c r="B205" s="1" t="s">
        <v>820</v>
      </c>
      <c r="C205">
        <v>120</v>
      </c>
      <c r="D205" s="2">
        <v>45824</v>
      </c>
    </row>
    <row r="206" spans="1:4" x14ac:dyDescent="0.2">
      <c r="A206" s="1" t="s">
        <v>59</v>
      </c>
      <c r="B206" s="1" t="s">
        <v>823</v>
      </c>
      <c r="C206">
        <v>51</v>
      </c>
      <c r="D206" s="2">
        <v>45824</v>
      </c>
    </row>
    <row r="207" spans="1:4" x14ac:dyDescent="0.2">
      <c r="A207" s="1" t="s">
        <v>31</v>
      </c>
      <c r="B207" s="1" t="s">
        <v>825</v>
      </c>
      <c r="C207">
        <v>154</v>
      </c>
      <c r="D207" s="2">
        <v>45824</v>
      </c>
    </row>
    <row r="208" spans="1:4" x14ac:dyDescent="0.2">
      <c r="A208" s="1" t="s">
        <v>20</v>
      </c>
      <c r="B208" s="1" t="s">
        <v>823</v>
      </c>
      <c r="C208">
        <v>175</v>
      </c>
      <c r="D208" s="2">
        <v>45824</v>
      </c>
    </row>
    <row r="209" spans="1:4" x14ac:dyDescent="0.2">
      <c r="A209" s="1" t="s">
        <v>37</v>
      </c>
      <c r="B209" s="1" t="s">
        <v>821</v>
      </c>
      <c r="C209">
        <v>107</v>
      </c>
      <c r="D209" s="2">
        <v>45824</v>
      </c>
    </row>
    <row r="210" spans="1:4" x14ac:dyDescent="0.2">
      <c r="A210" s="1" t="s">
        <v>17</v>
      </c>
      <c r="B210" s="1" t="s">
        <v>821</v>
      </c>
      <c r="C210">
        <v>121</v>
      </c>
      <c r="D210" s="2">
        <v>45825</v>
      </c>
    </row>
    <row r="211" spans="1:4" x14ac:dyDescent="0.2">
      <c r="A211" s="1" t="s">
        <v>20</v>
      </c>
      <c r="B211" s="1" t="s">
        <v>820</v>
      </c>
      <c r="C211">
        <v>100</v>
      </c>
      <c r="D211" s="2">
        <v>45825</v>
      </c>
    </row>
    <row r="212" spans="1:4" x14ac:dyDescent="0.2">
      <c r="A212" s="1" t="s">
        <v>25</v>
      </c>
      <c r="B212" s="1" t="s">
        <v>820</v>
      </c>
      <c r="C212">
        <v>109</v>
      </c>
      <c r="D212" s="2">
        <v>45825</v>
      </c>
    </row>
    <row r="213" spans="1:4" x14ac:dyDescent="0.2">
      <c r="A213" s="1" t="s">
        <v>31</v>
      </c>
      <c r="B213" s="1" t="s">
        <v>826</v>
      </c>
      <c r="C213">
        <v>99</v>
      </c>
      <c r="D213" s="2">
        <v>45825</v>
      </c>
    </row>
    <row r="214" spans="1:4" x14ac:dyDescent="0.2">
      <c r="A214" s="1" t="s">
        <v>34</v>
      </c>
      <c r="B214" s="1" t="s">
        <v>826</v>
      </c>
      <c r="C214">
        <v>95</v>
      </c>
      <c r="D214" s="2">
        <v>45825</v>
      </c>
    </row>
    <row r="215" spans="1:4" x14ac:dyDescent="0.2">
      <c r="A215" s="1" t="s">
        <v>59</v>
      </c>
      <c r="B215" s="1" t="s">
        <v>822</v>
      </c>
      <c r="C215">
        <v>18</v>
      </c>
      <c r="D215" s="2">
        <v>45825</v>
      </c>
    </row>
    <row r="216" spans="1:4" x14ac:dyDescent="0.2">
      <c r="A216" s="1" t="s">
        <v>8</v>
      </c>
      <c r="B216" s="1" t="s">
        <v>822</v>
      </c>
      <c r="C216">
        <v>160</v>
      </c>
      <c r="D216" s="2">
        <v>45825</v>
      </c>
    </row>
    <row r="217" spans="1:4" x14ac:dyDescent="0.2">
      <c r="A217" s="1" t="s">
        <v>20</v>
      </c>
      <c r="B217" s="1" t="s">
        <v>822</v>
      </c>
      <c r="C217">
        <v>60</v>
      </c>
      <c r="D217" s="2">
        <v>45825</v>
      </c>
    </row>
    <row r="218" spans="1:4" x14ac:dyDescent="0.2">
      <c r="A218" s="1" t="s">
        <v>20</v>
      </c>
      <c r="B218" s="1" t="s">
        <v>820</v>
      </c>
      <c r="C218">
        <v>178</v>
      </c>
      <c r="D218" s="2">
        <v>45825</v>
      </c>
    </row>
    <row r="219" spans="1:4" x14ac:dyDescent="0.2">
      <c r="A219" s="1" t="s">
        <v>37</v>
      </c>
      <c r="B219" s="1" t="s">
        <v>823</v>
      </c>
      <c r="C219">
        <v>76</v>
      </c>
      <c r="D219" s="2">
        <v>45825</v>
      </c>
    </row>
    <row r="220" spans="1:4" x14ac:dyDescent="0.2">
      <c r="A220" s="1" t="s">
        <v>34</v>
      </c>
      <c r="B220" s="1" t="s">
        <v>822</v>
      </c>
      <c r="C220">
        <v>90</v>
      </c>
      <c r="D220" s="2">
        <v>45825</v>
      </c>
    </row>
    <row r="221" spans="1:4" x14ac:dyDescent="0.2">
      <c r="A221" s="1" t="s">
        <v>59</v>
      </c>
      <c r="B221" s="1" t="s">
        <v>820</v>
      </c>
      <c r="C221">
        <v>122</v>
      </c>
      <c r="D221" s="2">
        <v>45825</v>
      </c>
    </row>
    <row r="222" spans="1:4" x14ac:dyDescent="0.2">
      <c r="A222" s="1" t="s">
        <v>31</v>
      </c>
      <c r="B222" s="1" t="s">
        <v>821</v>
      </c>
      <c r="C222">
        <v>121</v>
      </c>
      <c r="D222" s="2">
        <v>45825</v>
      </c>
    </row>
    <row r="223" spans="1:4" x14ac:dyDescent="0.2">
      <c r="A223" s="1" t="s">
        <v>25</v>
      </c>
      <c r="B223" s="1" t="s">
        <v>820</v>
      </c>
      <c r="C223">
        <v>82</v>
      </c>
      <c r="D223" s="2">
        <v>45825</v>
      </c>
    </row>
    <row r="224" spans="1:4" x14ac:dyDescent="0.2">
      <c r="A224" s="1" t="s">
        <v>20</v>
      </c>
      <c r="B224" s="1" t="s">
        <v>822</v>
      </c>
      <c r="C224">
        <v>145</v>
      </c>
      <c r="D224" s="2">
        <v>45825</v>
      </c>
    </row>
    <row r="225" spans="1:4" x14ac:dyDescent="0.2">
      <c r="A225" s="1" t="s">
        <v>17</v>
      </c>
      <c r="B225" s="1" t="s">
        <v>823</v>
      </c>
      <c r="C225">
        <v>79</v>
      </c>
      <c r="D225" s="2">
        <v>45825</v>
      </c>
    </row>
    <row r="226" spans="1:4" x14ac:dyDescent="0.2">
      <c r="A226" s="1" t="s">
        <v>59</v>
      </c>
      <c r="B226" s="1" t="s">
        <v>821</v>
      </c>
      <c r="C226">
        <v>115</v>
      </c>
      <c r="D226" s="2">
        <v>45825</v>
      </c>
    </row>
    <row r="227" spans="1:4" x14ac:dyDescent="0.2">
      <c r="A227" s="1" t="s">
        <v>31</v>
      </c>
      <c r="B227" s="1" t="s">
        <v>820</v>
      </c>
      <c r="C227">
        <v>175</v>
      </c>
      <c r="D227" s="2">
        <v>45825</v>
      </c>
    </row>
    <row r="228" spans="1:4" x14ac:dyDescent="0.2">
      <c r="A228" s="1" t="s">
        <v>31</v>
      </c>
      <c r="B228" s="1" t="s">
        <v>825</v>
      </c>
      <c r="C228">
        <v>54</v>
      </c>
      <c r="D228" s="2">
        <v>45825</v>
      </c>
    </row>
    <row r="229" spans="1:4" x14ac:dyDescent="0.2">
      <c r="A229" s="1" t="s">
        <v>37</v>
      </c>
      <c r="B229" s="1" t="s">
        <v>825</v>
      </c>
      <c r="C229">
        <v>76</v>
      </c>
      <c r="D229" s="2">
        <v>45826</v>
      </c>
    </row>
    <row r="230" spans="1:4" x14ac:dyDescent="0.2">
      <c r="A230" s="1" t="s">
        <v>8</v>
      </c>
      <c r="B230" s="1" t="s">
        <v>825</v>
      </c>
      <c r="C230">
        <v>152</v>
      </c>
      <c r="D230" s="2">
        <v>45826</v>
      </c>
    </row>
    <row r="231" spans="1:4" x14ac:dyDescent="0.2">
      <c r="A231" s="1" t="s">
        <v>8</v>
      </c>
      <c r="B231" s="1" t="s">
        <v>825</v>
      </c>
      <c r="C231">
        <v>69</v>
      </c>
      <c r="D231" s="2">
        <v>45826</v>
      </c>
    </row>
    <row r="232" spans="1:4" x14ac:dyDescent="0.2">
      <c r="A232" s="1" t="s">
        <v>17</v>
      </c>
      <c r="B232" s="1" t="s">
        <v>826</v>
      </c>
      <c r="C232">
        <v>15</v>
      </c>
      <c r="D232" s="2">
        <v>45826</v>
      </c>
    </row>
    <row r="233" spans="1:4" x14ac:dyDescent="0.2">
      <c r="A233" s="1" t="s">
        <v>23</v>
      </c>
      <c r="B233" s="1" t="s">
        <v>825</v>
      </c>
      <c r="C233">
        <v>100</v>
      </c>
      <c r="D233" s="2">
        <v>45826</v>
      </c>
    </row>
    <row r="234" spans="1:4" x14ac:dyDescent="0.2">
      <c r="A234" s="1" t="s">
        <v>25</v>
      </c>
      <c r="B234" s="1" t="s">
        <v>825</v>
      </c>
      <c r="C234">
        <v>90</v>
      </c>
      <c r="D234" s="2">
        <v>45826</v>
      </c>
    </row>
    <row r="235" spans="1:4" x14ac:dyDescent="0.2">
      <c r="A235" s="1" t="s">
        <v>37</v>
      </c>
      <c r="B235" s="1" t="s">
        <v>826</v>
      </c>
      <c r="C235">
        <v>31</v>
      </c>
      <c r="D235" s="2">
        <v>45826</v>
      </c>
    </row>
    <row r="236" spans="1:4" x14ac:dyDescent="0.2">
      <c r="A236" s="1" t="s">
        <v>20</v>
      </c>
      <c r="B236" s="1" t="s">
        <v>823</v>
      </c>
      <c r="C236">
        <v>223</v>
      </c>
      <c r="D236" s="2">
        <v>45826</v>
      </c>
    </row>
    <row r="237" spans="1:4" x14ac:dyDescent="0.2">
      <c r="A237" s="1" t="s">
        <v>20</v>
      </c>
      <c r="B237" s="1" t="s">
        <v>826</v>
      </c>
      <c r="C237">
        <v>35</v>
      </c>
      <c r="D237" s="2">
        <v>45826</v>
      </c>
    </row>
    <row r="238" spans="1:4" x14ac:dyDescent="0.2">
      <c r="A238" s="1" t="s">
        <v>59</v>
      </c>
      <c r="B238" s="1" t="s">
        <v>824</v>
      </c>
      <c r="C238">
        <v>65</v>
      </c>
      <c r="D238" s="2">
        <v>45826</v>
      </c>
    </row>
    <row r="239" spans="1:4" x14ac:dyDescent="0.2">
      <c r="A239" s="1" t="s">
        <v>37</v>
      </c>
      <c r="B239" s="1" t="s">
        <v>821</v>
      </c>
      <c r="C239">
        <v>121</v>
      </c>
      <c r="D239" s="2">
        <v>45826</v>
      </c>
    </row>
    <row r="240" spans="1:4" x14ac:dyDescent="0.2">
      <c r="A240" s="1" t="s">
        <v>17</v>
      </c>
      <c r="B240" s="1" t="s">
        <v>820</v>
      </c>
      <c r="C240">
        <v>113</v>
      </c>
      <c r="D240" s="2">
        <v>45826</v>
      </c>
    </row>
    <row r="241" spans="1:4" x14ac:dyDescent="0.2">
      <c r="A241" s="1" t="s">
        <v>20</v>
      </c>
      <c r="B241" s="1" t="s">
        <v>822</v>
      </c>
      <c r="C241">
        <v>190</v>
      </c>
      <c r="D241" s="2">
        <v>45826</v>
      </c>
    </row>
    <row r="242" spans="1:4" x14ac:dyDescent="0.2">
      <c r="A242" s="1" t="s">
        <v>23</v>
      </c>
      <c r="B242" s="1" t="s">
        <v>824</v>
      </c>
      <c r="C242">
        <v>63</v>
      </c>
      <c r="D242" s="2">
        <v>45826</v>
      </c>
    </row>
    <row r="243" spans="1:4" x14ac:dyDescent="0.2">
      <c r="A243" s="1" t="s">
        <v>25</v>
      </c>
      <c r="B243" s="1" t="s">
        <v>824</v>
      </c>
      <c r="C243">
        <v>129</v>
      </c>
      <c r="D243" s="2">
        <v>45826</v>
      </c>
    </row>
    <row r="244" spans="1:4" x14ac:dyDescent="0.2">
      <c r="A244" s="1" t="s">
        <v>17</v>
      </c>
      <c r="B244" s="1" t="s">
        <v>826</v>
      </c>
      <c r="C244">
        <v>48</v>
      </c>
      <c r="D244" s="2">
        <v>45826</v>
      </c>
    </row>
    <row r="245" spans="1:4" x14ac:dyDescent="0.2">
      <c r="A245" s="1" t="s">
        <v>34</v>
      </c>
      <c r="B245" s="1" t="s">
        <v>822</v>
      </c>
      <c r="C245">
        <v>39</v>
      </c>
      <c r="D245" s="2">
        <v>45826</v>
      </c>
    </row>
    <row r="246" spans="1:4" x14ac:dyDescent="0.2">
      <c r="A246" s="1" t="s">
        <v>17</v>
      </c>
      <c r="B246" s="1" t="s">
        <v>824</v>
      </c>
      <c r="C246">
        <v>94</v>
      </c>
      <c r="D246" s="2">
        <v>45826</v>
      </c>
    </row>
    <row r="247" spans="1:4" x14ac:dyDescent="0.2">
      <c r="A247" s="1" t="s">
        <v>31</v>
      </c>
      <c r="B247" s="1" t="s">
        <v>822</v>
      </c>
      <c r="C247">
        <v>55</v>
      </c>
      <c r="D247" s="2">
        <v>45826</v>
      </c>
    </row>
    <row r="248" spans="1:4" x14ac:dyDescent="0.2">
      <c r="A248" s="1" t="s">
        <v>25</v>
      </c>
      <c r="B248" s="1" t="s">
        <v>823</v>
      </c>
      <c r="C248">
        <v>143</v>
      </c>
      <c r="D248" s="2">
        <v>45827</v>
      </c>
    </row>
    <row r="249" spans="1:4" x14ac:dyDescent="0.2">
      <c r="A249" s="1" t="s">
        <v>8</v>
      </c>
      <c r="B249" s="1" t="s">
        <v>820</v>
      </c>
      <c r="C249">
        <v>123</v>
      </c>
      <c r="D249" s="2">
        <v>45827</v>
      </c>
    </row>
    <row r="250" spans="1:4" x14ac:dyDescent="0.2">
      <c r="A250" s="1" t="s">
        <v>31</v>
      </c>
      <c r="B250" s="1" t="s">
        <v>820</v>
      </c>
      <c r="C250">
        <v>138</v>
      </c>
      <c r="D250" s="2">
        <v>45827</v>
      </c>
    </row>
    <row r="251" spans="1:4" x14ac:dyDescent="0.2">
      <c r="A251" s="1" t="s">
        <v>20</v>
      </c>
      <c r="B251" s="1" t="s">
        <v>821</v>
      </c>
      <c r="C251">
        <v>47</v>
      </c>
      <c r="D251" s="2">
        <v>45827</v>
      </c>
    </row>
    <row r="252" spans="1:4" x14ac:dyDescent="0.2">
      <c r="A252" s="1" t="s">
        <v>59</v>
      </c>
      <c r="B252" s="1" t="s">
        <v>825</v>
      </c>
      <c r="C252">
        <v>81</v>
      </c>
      <c r="D252" s="2">
        <v>45827</v>
      </c>
    </row>
    <row r="253" spans="1:4" x14ac:dyDescent="0.2">
      <c r="A253" s="1" t="s">
        <v>31</v>
      </c>
      <c r="B253" s="1" t="s">
        <v>824</v>
      </c>
      <c r="C253">
        <v>96</v>
      </c>
      <c r="D253" s="2">
        <v>45827</v>
      </c>
    </row>
    <row r="254" spans="1:4" x14ac:dyDescent="0.2">
      <c r="A254" s="1" t="s">
        <v>8</v>
      </c>
      <c r="B254" s="1" t="s">
        <v>822</v>
      </c>
      <c r="C254">
        <v>95</v>
      </c>
      <c r="D254" s="2">
        <v>45827</v>
      </c>
    </row>
    <row r="255" spans="1:4" x14ac:dyDescent="0.2">
      <c r="A255" s="1" t="s">
        <v>34</v>
      </c>
      <c r="B255" s="1" t="s">
        <v>824</v>
      </c>
      <c r="C255">
        <v>7</v>
      </c>
      <c r="D255" s="2">
        <v>45827</v>
      </c>
    </row>
    <row r="256" spans="1:4" x14ac:dyDescent="0.2">
      <c r="A256" s="1" t="s">
        <v>25</v>
      </c>
      <c r="B256" s="1" t="s">
        <v>826</v>
      </c>
      <c r="C256">
        <v>84</v>
      </c>
      <c r="D256" s="2">
        <v>45827</v>
      </c>
    </row>
    <row r="257" spans="1:4" x14ac:dyDescent="0.2">
      <c r="A257" s="1" t="s">
        <v>20</v>
      </c>
      <c r="B257" s="1" t="s">
        <v>823</v>
      </c>
      <c r="C257">
        <v>83</v>
      </c>
      <c r="D257" s="2">
        <v>45827</v>
      </c>
    </row>
    <row r="258" spans="1:4" x14ac:dyDescent="0.2">
      <c r="A258" s="1" t="s">
        <v>34</v>
      </c>
      <c r="B258" s="1" t="s">
        <v>821</v>
      </c>
      <c r="C258">
        <v>83</v>
      </c>
      <c r="D258" s="2">
        <v>45827</v>
      </c>
    </row>
    <row r="259" spans="1:4" x14ac:dyDescent="0.2">
      <c r="A259" s="1" t="s">
        <v>31</v>
      </c>
      <c r="B259" s="1" t="s">
        <v>822</v>
      </c>
      <c r="C259">
        <v>17</v>
      </c>
      <c r="D259" s="2">
        <v>45827</v>
      </c>
    </row>
    <row r="260" spans="1:4" x14ac:dyDescent="0.2">
      <c r="A260" s="1" t="s">
        <v>23</v>
      </c>
      <c r="B260" s="1" t="s">
        <v>825</v>
      </c>
      <c r="C260">
        <v>90</v>
      </c>
      <c r="D260" s="2">
        <v>45827</v>
      </c>
    </row>
    <row r="261" spans="1:4" x14ac:dyDescent="0.2">
      <c r="A261" s="1" t="s">
        <v>20</v>
      </c>
      <c r="B261" s="1" t="s">
        <v>821</v>
      </c>
      <c r="C261">
        <v>77</v>
      </c>
      <c r="D261" s="2">
        <v>45828</v>
      </c>
    </row>
    <row r="262" spans="1:4" x14ac:dyDescent="0.2">
      <c r="A262" s="1" t="s">
        <v>23</v>
      </c>
      <c r="B262" s="1" t="s">
        <v>822</v>
      </c>
      <c r="C262">
        <v>43</v>
      </c>
      <c r="D262" s="2">
        <v>45828</v>
      </c>
    </row>
    <row r="263" spans="1:4" x14ac:dyDescent="0.2">
      <c r="A263" s="1" t="s">
        <v>20</v>
      </c>
      <c r="B263" s="1" t="s">
        <v>823</v>
      </c>
      <c r="C263">
        <v>69</v>
      </c>
      <c r="D263" s="2">
        <v>45828</v>
      </c>
    </row>
    <row r="264" spans="1:4" x14ac:dyDescent="0.2">
      <c r="A264" s="1" t="s">
        <v>31</v>
      </c>
      <c r="B264" s="1" t="s">
        <v>820</v>
      </c>
      <c r="C264">
        <v>127</v>
      </c>
      <c r="D264" s="2">
        <v>45828</v>
      </c>
    </row>
    <row r="265" spans="1:4" x14ac:dyDescent="0.2">
      <c r="A265" s="1" t="s">
        <v>23</v>
      </c>
      <c r="B265" s="1" t="s">
        <v>822</v>
      </c>
      <c r="C265">
        <v>44</v>
      </c>
      <c r="D265" s="2">
        <v>45828</v>
      </c>
    </row>
    <row r="266" spans="1:4" x14ac:dyDescent="0.2">
      <c r="A266" s="1" t="s">
        <v>59</v>
      </c>
      <c r="B266" s="1" t="s">
        <v>823</v>
      </c>
      <c r="C266">
        <v>138</v>
      </c>
      <c r="D266" s="2">
        <v>45828</v>
      </c>
    </row>
    <row r="267" spans="1:4" x14ac:dyDescent="0.2">
      <c r="A267" s="1" t="s">
        <v>59</v>
      </c>
      <c r="B267" s="1" t="s">
        <v>824</v>
      </c>
      <c r="C267">
        <v>176</v>
      </c>
      <c r="D267" s="2">
        <v>45828</v>
      </c>
    </row>
    <row r="268" spans="1:4" x14ac:dyDescent="0.2">
      <c r="A268" s="1" t="s">
        <v>23</v>
      </c>
      <c r="B268" s="1" t="s">
        <v>825</v>
      </c>
      <c r="C268">
        <v>130</v>
      </c>
      <c r="D268" s="2">
        <v>45828</v>
      </c>
    </row>
    <row r="269" spans="1:4" x14ac:dyDescent="0.2">
      <c r="A269" s="1" t="s">
        <v>34</v>
      </c>
      <c r="B269" s="1" t="s">
        <v>823</v>
      </c>
      <c r="C269">
        <v>63</v>
      </c>
      <c r="D269" s="2">
        <v>45828</v>
      </c>
    </row>
    <row r="270" spans="1:4" x14ac:dyDescent="0.2">
      <c r="A270" s="1" t="s">
        <v>23</v>
      </c>
      <c r="B270" s="1" t="s">
        <v>826</v>
      </c>
      <c r="C270">
        <v>5</v>
      </c>
      <c r="D270" s="2">
        <v>45828</v>
      </c>
    </row>
    <row r="271" spans="1:4" x14ac:dyDescent="0.2">
      <c r="A271" s="1" t="s">
        <v>8</v>
      </c>
      <c r="B271" s="1" t="s">
        <v>824</v>
      </c>
      <c r="C271">
        <v>102</v>
      </c>
      <c r="D271" s="2">
        <v>45828</v>
      </c>
    </row>
    <row r="272" spans="1:4" x14ac:dyDescent="0.2">
      <c r="A272" s="1" t="s">
        <v>17</v>
      </c>
      <c r="B272" s="1" t="s">
        <v>822</v>
      </c>
      <c r="C272">
        <v>80</v>
      </c>
      <c r="D272" s="2">
        <v>45828</v>
      </c>
    </row>
    <row r="273" spans="1:4" x14ac:dyDescent="0.2">
      <c r="A273" s="1" t="s">
        <v>25</v>
      </c>
      <c r="B273" s="1" t="s">
        <v>825</v>
      </c>
      <c r="C273">
        <v>60</v>
      </c>
      <c r="D273" s="2">
        <v>45828</v>
      </c>
    </row>
    <row r="274" spans="1:4" x14ac:dyDescent="0.2">
      <c r="A274" s="1" t="s">
        <v>31</v>
      </c>
      <c r="B274" s="1" t="s">
        <v>821</v>
      </c>
      <c r="C274">
        <v>108</v>
      </c>
      <c r="D274" s="2">
        <v>45828</v>
      </c>
    </row>
    <row r="275" spans="1:4" x14ac:dyDescent="0.2">
      <c r="A275" s="1" t="s">
        <v>34</v>
      </c>
      <c r="B275" s="1" t="s">
        <v>823</v>
      </c>
      <c r="C275">
        <v>160</v>
      </c>
      <c r="D275" s="2">
        <v>45828</v>
      </c>
    </row>
    <row r="276" spans="1:4" x14ac:dyDescent="0.2">
      <c r="A276" s="1" t="s">
        <v>8</v>
      </c>
      <c r="B276" s="1" t="s">
        <v>826</v>
      </c>
      <c r="C276">
        <v>136</v>
      </c>
      <c r="D276" s="2">
        <v>45828</v>
      </c>
    </row>
    <row r="277" spans="1:4" x14ac:dyDescent="0.2">
      <c r="A277" s="1" t="s">
        <v>37</v>
      </c>
      <c r="B277" s="1" t="s">
        <v>824</v>
      </c>
      <c r="C277">
        <v>87</v>
      </c>
      <c r="D277" s="2">
        <v>45829</v>
      </c>
    </row>
    <row r="278" spans="1:4" x14ac:dyDescent="0.2">
      <c r="A278" s="1" t="s">
        <v>17</v>
      </c>
      <c r="B278" s="1" t="s">
        <v>820</v>
      </c>
      <c r="C278">
        <v>72</v>
      </c>
      <c r="D278" s="2">
        <v>45829</v>
      </c>
    </row>
    <row r="279" spans="1:4" x14ac:dyDescent="0.2">
      <c r="A279" s="1" t="s">
        <v>17</v>
      </c>
      <c r="B279" s="1" t="s">
        <v>820</v>
      </c>
      <c r="C279">
        <v>94</v>
      </c>
      <c r="D279" s="2">
        <v>45829</v>
      </c>
    </row>
    <row r="280" spans="1:4" x14ac:dyDescent="0.2">
      <c r="A280" s="1" t="s">
        <v>31</v>
      </c>
      <c r="B280" s="1" t="s">
        <v>826</v>
      </c>
      <c r="C280">
        <v>116</v>
      </c>
      <c r="D280" s="2">
        <v>45829</v>
      </c>
    </row>
    <row r="281" spans="1:4" x14ac:dyDescent="0.2">
      <c r="A281" s="1" t="s">
        <v>23</v>
      </c>
      <c r="B281" s="1" t="s">
        <v>823</v>
      </c>
      <c r="C281">
        <v>36</v>
      </c>
      <c r="D281" s="2">
        <v>45829</v>
      </c>
    </row>
    <row r="282" spans="1:4" x14ac:dyDescent="0.2">
      <c r="A282" s="1" t="s">
        <v>8</v>
      </c>
      <c r="B282" s="1" t="s">
        <v>825</v>
      </c>
      <c r="C282">
        <v>101</v>
      </c>
      <c r="D282" s="2">
        <v>45829</v>
      </c>
    </row>
    <row r="283" spans="1:4" x14ac:dyDescent="0.2">
      <c r="A283" s="1" t="s">
        <v>31</v>
      </c>
      <c r="B283" s="1" t="s">
        <v>825</v>
      </c>
      <c r="C283">
        <v>128</v>
      </c>
      <c r="D283" s="2">
        <v>45829</v>
      </c>
    </row>
    <row r="284" spans="1:4" x14ac:dyDescent="0.2">
      <c r="A284" s="1" t="s">
        <v>20</v>
      </c>
      <c r="B284" s="1" t="s">
        <v>826</v>
      </c>
      <c r="C284">
        <v>38</v>
      </c>
      <c r="D284" s="2">
        <v>45829</v>
      </c>
    </row>
    <row r="285" spans="1:4" x14ac:dyDescent="0.2">
      <c r="A285" s="1" t="s">
        <v>25</v>
      </c>
      <c r="B285" s="1" t="s">
        <v>822</v>
      </c>
      <c r="C285">
        <v>58</v>
      </c>
      <c r="D285" s="2">
        <v>45829</v>
      </c>
    </row>
    <row r="286" spans="1:4" x14ac:dyDescent="0.2">
      <c r="A286" s="1" t="s">
        <v>20</v>
      </c>
      <c r="B286" s="1" t="s">
        <v>823</v>
      </c>
      <c r="C286">
        <v>122</v>
      </c>
      <c r="D286" s="2">
        <v>45829</v>
      </c>
    </row>
    <row r="287" spans="1:4" x14ac:dyDescent="0.2">
      <c r="A287" s="1" t="s">
        <v>59</v>
      </c>
      <c r="B287" s="1" t="s">
        <v>822</v>
      </c>
      <c r="C287">
        <v>101</v>
      </c>
      <c r="D287" s="2">
        <v>45829</v>
      </c>
    </row>
    <row r="288" spans="1:4" x14ac:dyDescent="0.2">
      <c r="A288" s="1" t="s">
        <v>37</v>
      </c>
      <c r="B288" s="1" t="s">
        <v>822</v>
      </c>
      <c r="C288">
        <v>66</v>
      </c>
      <c r="D288" s="2">
        <v>45829</v>
      </c>
    </row>
    <row r="289" spans="1:4" x14ac:dyDescent="0.2">
      <c r="A289" s="1" t="s">
        <v>25</v>
      </c>
      <c r="B289" s="1" t="s">
        <v>826</v>
      </c>
      <c r="C289">
        <v>97</v>
      </c>
      <c r="D289" s="2">
        <v>45829</v>
      </c>
    </row>
    <row r="290" spans="1:4" x14ac:dyDescent="0.2">
      <c r="A290" s="1" t="s">
        <v>17</v>
      </c>
      <c r="B290" s="1" t="s">
        <v>826</v>
      </c>
      <c r="C290">
        <v>140</v>
      </c>
      <c r="D290" s="2">
        <v>45829</v>
      </c>
    </row>
    <row r="291" spans="1:4" x14ac:dyDescent="0.2">
      <c r="A291" s="1" t="s">
        <v>59</v>
      </c>
      <c r="B291" s="1" t="s">
        <v>820</v>
      </c>
      <c r="C291">
        <v>91</v>
      </c>
      <c r="D291" s="2">
        <v>45829</v>
      </c>
    </row>
    <row r="292" spans="1:4" x14ac:dyDescent="0.2">
      <c r="A292" s="1" t="s">
        <v>20</v>
      </c>
      <c r="B292" s="1" t="s">
        <v>823</v>
      </c>
      <c r="C292">
        <v>130</v>
      </c>
      <c r="D292" s="2">
        <v>45829</v>
      </c>
    </row>
    <row r="293" spans="1:4" x14ac:dyDescent="0.2">
      <c r="A293" s="1" t="s">
        <v>17</v>
      </c>
      <c r="B293" s="1" t="s">
        <v>826</v>
      </c>
      <c r="C293">
        <v>116</v>
      </c>
      <c r="D293" s="2">
        <v>45829</v>
      </c>
    </row>
    <row r="294" spans="1:4" x14ac:dyDescent="0.2">
      <c r="A294" s="1" t="s">
        <v>37</v>
      </c>
      <c r="B294" s="1" t="s">
        <v>821</v>
      </c>
      <c r="C294">
        <v>89</v>
      </c>
      <c r="D294" s="2">
        <v>45829</v>
      </c>
    </row>
    <row r="295" spans="1:4" x14ac:dyDescent="0.2">
      <c r="A295" s="1" t="s">
        <v>17</v>
      </c>
      <c r="B295" s="1" t="s">
        <v>825</v>
      </c>
      <c r="C295">
        <v>99</v>
      </c>
      <c r="D295" s="2">
        <v>45829</v>
      </c>
    </row>
    <row r="296" spans="1:4" x14ac:dyDescent="0.2">
      <c r="A296" s="1" t="s">
        <v>37</v>
      </c>
      <c r="B296" s="1" t="s">
        <v>824</v>
      </c>
      <c r="C296">
        <v>170</v>
      </c>
      <c r="D296" s="2">
        <v>45829</v>
      </c>
    </row>
    <row r="297" spans="1:4" x14ac:dyDescent="0.2">
      <c r="A297" s="1" t="s">
        <v>31</v>
      </c>
      <c r="B297" s="1" t="s">
        <v>823</v>
      </c>
      <c r="C297">
        <v>133</v>
      </c>
      <c r="D297" s="2">
        <v>45830</v>
      </c>
    </row>
    <row r="298" spans="1:4" x14ac:dyDescent="0.2">
      <c r="A298" s="1" t="s">
        <v>17</v>
      </c>
      <c r="B298" s="1" t="s">
        <v>824</v>
      </c>
      <c r="C298">
        <v>93</v>
      </c>
      <c r="D298" s="2">
        <v>45830</v>
      </c>
    </row>
    <row r="299" spans="1:4" x14ac:dyDescent="0.2">
      <c r="A299" s="1" t="s">
        <v>59</v>
      </c>
      <c r="B299" s="1" t="s">
        <v>823</v>
      </c>
      <c r="C299">
        <v>124</v>
      </c>
      <c r="D299" s="2">
        <v>45830</v>
      </c>
    </row>
    <row r="300" spans="1:4" x14ac:dyDescent="0.2">
      <c r="A300" s="1" t="s">
        <v>37</v>
      </c>
      <c r="B300" s="1" t="s">
        <v>824</v>
      </c>
      <c r="C300">
        <v>76</v>
      </c>
      <c r="D300" s="2">
        <v>45830</v>
      </c>
    </row>
    <row r="301" spans="1:4" x14ac:dyDescent="0.2">
      <c r="A301" s="1" t="s">
        <v>20</v>
      </c>
      <c r="B301" s="1" t="s">
        <v>820</v>
      </c>
      <c r="C301">
        <v>75</v>
      </c>
      <c r="D301" s="2">
        <v>45830</v>
      </c>
    </row>
    <row r="302" spans="1:4" x14ac:dyDescent="0.2">
      <c r="A302" s="1" t="s">
        <v>37</v>
      </c>
      <c r="B302" s="1" t="s">
        <v>824</v>
      </c>
      <c r="C302">
        <v>115</v>
      </c>
      <c r="D302" s="2">
        <v>45830</v>
      </c>
    </row>
    <row r="303" spans="1:4" x14ac:dyDescent="0.2">
      <c r="A303" s="1" t="s">
        <v>23</v>
      </c>
      <c r="B303" s="1" t="s">
        <v>822</v>
      </c>
      <c r="C303">
        <v>125</v>
      </c>
      <c r="D303" s="2">
        <v>45830</v>
      </c>
    </row>
    <row r="304" spans="1:4" x14ac:dyDescent="0.2">
      <c r="A304" s="1" t="s">
        <v>59</v>
      </c>
      <c r="B304" s="1" t="s">
        <v>821</v>
      </c>
      <c r="C304">
        <v>134</v>
      </c>
      <c r="D304" s="2">
        <v>45830</v>
      </c>
    </row>
    <row r="305" spans="1:4" x14ac:dyDescent="0.2">
      <c r="A305" s="1" t="s">
        <v>8</v>
      </c>
      <c r="B305" s="1" t="s">
        <v>820</v>
      </c>
      <c r="C305">
        <v>145</v>
      </c>
      <c r="D305" s="2">
        <v>45830</v>
      </c>
    </row>
    <row r="306" spans="1:4" x14ac:dyDescent="0.2">
      <c r="A306" s="1" t="s">
        <v>31</v>
      </c>
      <c r="B306" s="1" t="s">
        <v>823</v>
      </c>
      <c r="C306">
        <v>71</v>
      </c>
      <c r="D306" s="2">
        <v>45831</v>
      </c>
    </row>
    <row r="307" spans="1:4" x14ac:dyDescent="0.2">
      <c r="A307" s="1" t="s">
        <v>59</v>
      </c>
      <c r="B307" s="1" t="s">
        <v>821</v>
      </c>
      <c r="C307">
        <v>107</v>
      </c>
      <c r="D307" s="2">
        <v>45831</v>
      </c>
    </row>
    <row r="308" spans="1:4" x14ac:dyDescent="0.2">
      <c r="A308" s="1" t="s">
        <v>25</v>
      </c>
      <c r="B308" s="1" t="s">
        <v>820</v>
      </c>
      <c r="C308">
        <v>102</v>
      </c>
      <c r="D308" s="2">
        <v>45831</v>
      </c>
    </row>
    <row r="309" spans="1:4" x14ac:dyDescent="0.2">
      <c r="A309" s="1" t="s">
        <v>20</v>
      </c>
      <c r="B309" s="1" t="s">
        <v>822</v>
      </c>
      <c r="C309">
        <v>101</v>
      </c>
      <c r="D309" s="2">
        <v>45831</v>
      </c>
    </row>
    <row r="310" spans="1:4" x14ac:dyDescent="0.2">
      <c r="A310" s="1" t="s">
        <v>59</v>
      </c>
      <c r="B310" s="1" t="s">
        <v>822</v>
      </c>
      <c r="C310">
        <v>165</v>
      </c>
      <c r="D310" s="2">
        <v>45831</v>
      </c>
    </row>
    <row r="311" spans="1:4" x14ac:dyDescent="0.2">
      <c r="A311" s="1" t="s">
        <v>34</v>
      </c>
      <c r="B311" s="1" t="s">
        <v>821</v>
      </c>
      <c r="C311">
        <v>167</v>
      </c>
      <c r="D311" s="2">
        <v>45831</v>
      </c>
    </row>
    <row r="312" spans="1:4" x14ac:dyDescent="0.2">
      <c r="A312" s="1" t="s">
        <v>31</v>
      </c>
      <c r="B312" s="1" t="s">
        <v>826</v>
      </c>
      <c r="C312">
        <v>80</v>
      </c>
      <c r="D312" s="2">
        <v>45831</v>
      </c>
    </row>
    <row r="313" spans="1:4" x14ac:dyDescent="0.2">
      <c r="A313" s="1" t="s">
        <v>25</v>
      </c>
      <c r="B313" s="1" t="s">
        <v>822</v>
      </c>
      <c r="C313">
        <v>91</v>
      </c>
      <c r="D313" s="2">
        <v>45831</v>
      </c>
    </row>
    <row r="314" spans="1:4" x14ac:dyDescent="0.2">
      <c r="A314" s="1" t="s">
        <v>37</v>
      </c>
      <c r="B314" s="1" t="s">
        <v>823</v>
      </c>
      <c r="C314">
        <v>94</v>
      </c>
      <c r="D314" s="2">
        <v>45831</v>
      </c>
    </row>
    <row r="315" spans="1:4" x14ac:dyDescent="0.2">
      <c r="A315" s="1" t="s">
        <v>34</v>
      </c>
      <c r="B315" s="1" t="s">
        <v>824</v>
      </c>
      <c r="C315">
        <v>202</v>
      </c>
      <c r="D315" s="2">
        <v>45831</v>
      </c>
    </row>
    <row r="316" spans="1:4" x14ac:dyDescent="0.2">
      <c r="A316" s="1" t="s">
        <v>59</v>
      </c>
      <c r="B316" s="1" t="s">
        <v>820</v>
      </c>
      <c r="C316">
        <v>123</v>
      </c>
      <c r="D316" s="2">
        <v>45831</v>
      </c>
    </row>
    <row r="317" spans="1:4" x14ac:dyDescent="0.2">
      <c r="A317" s="1" t="s">
        <v>31</v>
      </c>
      <c r="B317" s="1" t="s">
        <v>821</v>
      </c>
      <c r="C317">
        <v>113</v>
      </c>
      <c r="D317" s="2">
        <v>45832</v>
      </c>
    </row>
    <row r="318" spans="1:4" x14ac:dyDescent="0.2">
      <c r="A318" s="1" t="s">
        <v>34</v>
      </c>
      <c r="B318" s="1" t="s">
        <v>825</v>
      </c>
      <c r="C318">
        <v>63</v>
      </c>
      <c r="D318" s="2">
        <v>45832</v>
      </c>
    </row>
    <row r="319" spans="1:4" x14ac:dyDescent="0.2">
      <c r="A319" s="1" t="s">
        <v>59</v>
      </c>
      <c r="B319" s="1" t="s">
        <v>824</v>
      </c>
      <c r="C319">
        <v>101</v>
      </c>
      <c r="D319" s="2">
        <v>45832</v>
      </c>
    </row>
    <row r="320" spans="1:4" x14ac:dyDescent="0.2">
      <c r="A320" s="1" t="s">
        <v>17</v>
      </c>
      <c r="B320" s="1" t="s">
        <v>823</v>
      </c>
      <c r="C320">
        <v>119</v>
      </c>
      <c r="D320" s="2">
        <v>45832</v>
      </c>
    </row>
    <row r="321" spans="1:4" x14ac:dyDescent="0.2">
      <c r="A321" s="1" t="s">
        <v>8</v>
      </c>
      <c r="B321" s="1" t="s">
        <v>820</v>
      </c>
      <c r="C321">
        <v>59</v>
      </c>
      <c r="D321" s="2">
        <v>45832</v>
      </c>
    </row>
    <row r="322" spans="1:4" x14ac:dyDescent="0.2">
      <c r="A322" s="1" t="s">
        <v>17</v>
      </c>
      <c r="B322" s="1" t="s">
        <v>825</v>
      </c>
      <c r="C322">
        <v>78</v>
      </c>
      <c r="D322" s="2">
        <v>45832</v>
      </c>
    </row>
    <row r="323" spans="1:4" x14ac:dyDescent="0.2">
      <c r="A323" s="1" t="s">
        <v>8</v>
      </c>
      <c r="B323" s="1" t="s">
        <v>825</v>
      </c>
      <c r="C323">
        <v>87</v>
      </c>
      <c r="D323" s="2">
        <v>45832</v>
      </c>
    </row>
    <row r="324" spans="1:4" x14ac:dyDescent="0.2">
      <c r="A324" s="1" t="s">
        <v>59</v>
      </c>
      <c r="B324" s="1" t="s">
        <v>820</v>
      </c>
      <c r="C324">
        <v>59</v>
      </c>
      <c r="D324" s="2">
        <v>45833</v>
      </c>
    </row>
    <row r="325" spans="1:4" x14ac:dyDescent="0.2">
      <c r="A325" s="1" t="s">
        <v>8</v>
      </c>
      <c r="B325" s="1" t="s">
        <v>821</v>
      </c>
      <c r="C325">
        <v>131</v>
      </c>
      <c r="D325" s="2">
        <v>45833</v>
      </c>
    </row>
    <row r="326" spans="1:4" x14ac:dyDescent="0.2">
      <c r="A326" s="1" t="s">
        <v>8</v>
      </c>
      <c r="B326" s="1" t="s">
        <v>823</v>
      </c>
      <c r="C326">
        <v>88</v>
      </c>
      <c r="D326" s="2">
        <v>45833</v>
      </c>
    </row>
    <row r="327" spans="1:4" x14ac:dyDescent="0.2">
      <c r="A327" s="1" t="s">
        <v>25</v>
      </c>
      <c r="B327" s="1" t="s">
        <v>823</v>
      </c>
      <c r="C327">
        <v>52</v>
      </c>
      <c r="D327" s="2">
        <v>45833</v>
      </c>
    </row>
    <row r="328" spans="1:4" x14ac:dyDescent="0.2">
      <c r="A328" s="1" t="s">
        <v>25</v>
      </c>
      <c r="B328" s="1" t="s">
        <v>821</v>
      </c>
      <c r="C328">
        <v>108</v>
      </c>
      <c r="D328" s="2">
        <v>45833</v>
      </c>
    </row>
    <row r="329" spans="1:4" x14ac:dyDescent="0.2">
      <c r="A329" s="1" t="s">
        <v>20</v>
      </c>
      <c r="B329" s="1" t="s">
        <v>822</v>
      </c>
      <c r="C329">
        <v>114</v>
      </c>
      <c r="D329" s="2">
        <v>45833</v>
      </c>
    </row>
    <row r="330" spans="1:4" x14ac:dyDescent="0.2">
      <c r="A330" s="1" t="s">
        <v>31</v>
      </c>
      <c r="B330" s="1" t="s">
        <v>825</v>
      </c>
      <c r="C330">
        <v>133</v>
      </c>
      <c r="D330" s="2">
        <v>45833</v>
      </c>
    </row>
    <row r="331" spans="1:4" x14ac:dyDescent="0.2">
      <c r="A331" s="1" t="s">
        <v>31</v>
      </c>
      <c r="B331" s="1" t="s">
        <v>823</v>
      </c>
      <c r="C331">
        <v>28</v>
      </c>
      <c r="D331" s="2">
        <v>45833</v>
      </c>
    </row>
    <row r="332" spans="1:4" x14ac:dyDescent="0.2">
      <c r="A332" s="1" t="s">
        <v>34</v>
      </c>
      <c r="B332" s="1" t="s">
        <v>820</v>
      </c>
      <c r="C332">
        <v>118</v>
      </c>
      <c r="D332" s="2">
        <v>45833</v>
      </c>
    </row>
    <row r="333" spans="1:4" x14ac:dyDescent="0.2">
      <c r="A333" s="1" t="s">
        <v>25</v>
      </c>
      <c r="B333" s="1" t="s">
        <v>826</v>
      </c>
      <c r="C333">
        <v>90</v>
      </c>
      <c r="D333" s="2">
        <v>45833</v>
      </c>
    </row>
    <row r="334" spans="1:4" x14ac:dyDescent="0.2">
      <c r="A334" s="1" t="s">
        <v>31</v>
      </c>
      <c r="B334" s="1" t="s">
        <v>821</v>
      </c>
      <c r="C334">
        <v>104</v>
      </c>
      <c r="D334" s="2">
        <v>45834</v>
      </c>
    </row>
    <row r="335" spans="1:4" x14ac:dyDescent="0.2">
      <c r="A335" s="1" t="s">
        <v>17</v>
      </c>
      <c r="B335" s="1" t="s">
        <v>826</v>
      </c>
      <c r="C335">
        <v>94</v>
      </c>
      <c r="D335" s="2">
        <v>45834</v>
      </c>
    </row>
    <row r="336" spans="1:4" x14ac:dyDescent="0.2">
      <c r="A336" s="1" t="s">
        <v>34</v>
      </c>
      <c r="B336" s="1" t="s">
        <v>824</v>
      </c>
      <c r="C336">
        <v>125</v>
      </c>
      <c r="D336" s="2">
        <v>45834</v>
      </c>
    </row>
    <row r="337" spans="1:4" x14ac:dyDescent="0.2">
      <c r="A337" s="1" t="s">
        <v>23</v>
      </c>
      <c r="B337" s="1" t="s">
        <v>821</v>
      </c>
      <c r="C337">
        <v>134</v>
      </c>
      <c r="D337" s="2">
        <v>45834</v>
      </c>
    </row>
    <row r="338" spans="1:4" x14ac:dyDescent="0.2">
      <c r="A338" s="1" t="s">
        <v>37</v>
      </c>
      <c r="B338" s="1" t="s">
        <v>824</v>
      </c>
      <c r="C338">
        <v>138</v>
      </c>
      <c r="D338" s="2">
        <v>45834</v>
      </c>
    </row>
    <row r="339" spans="1:4" x14ac:dyDescent="0.2">
      <c r="A339" s="1" t="s">
        <v>25</v>
      </c>
      <c r="B339" s="1" t="s">
        <v>822</v>
      </c>
      <c r="C339">
        <v>78</v>
      </c>
      <c r="D339" s="2">
        <v>45834</v>
      </c>
    </row>
    <row r="340" spans="1:4" x14ac:dyDescent="0.2">
      <c r="A340" s="1" t="s">
        <v>31</v>
      </c>
      <c r="B340" s="1" t="s">
        <v>826</v>
      </c>
      <c r="C340">
        <v>57</v>
      </c>
      <c r="D340" s="2">
        <v>45834</v>
      </c>
    </row>
    <row r="341" spans="1:4" x14ac:dyDescent="0.2">
      <c r="A341" s="1" t="s">
        <v>23</v>
      </c>
      <c r="B341" s="1" t="s">
        <v>821</v>
      </c>
      <c r="C341">
        <v>130</v>
      </c>
      <c r="D341" s="2">
        <v>45834</v>
      </c>
    </row>
    <row r="342" spans="1:4" x14ac:dyDescent="0.2">
      <c r="A342" s="1" t="s">
        <v>20</v>
      </c>
      <c r="B342" s="1" t="s">
        <v>822</v>
      </c>
      <c r="C342">
        <v>183</v>
      </c>
      <c r="D342" s="2">
        <v>45834</v>
      </c>
    </row>
    <row r="343" spans="1:4" x14ac:dyDescent="0.2">
      <c r="A343" s="1" t="s">
        <v>8</v>
      </c>
      <c r="B343" s="1" t="s">
        <v>824</v>
      </c>
      <c r="C343">
        <v>66</v>
      </c>
      <c r="D343" s="2">
        <v>45834</v>
      </c>
    </row>
    <row r="344" spans="1:4" x14ac:dyDescent="0.2">
      <c r="A344" s="1" t="s">
        <v>25</v>
      </c>
      <c r="B344" s="1" t="s">
        <v>826</v>
      </c>
      <c r="C344">
        <v>143</v>
      </c>
      <c r="D344" s="2">
        <v>45834</v>
      </c>
    </row>
    <row r="345" spans="1:4" x14ac:dyDescent="0.2">
      <c r="A345" s="1" t="s">
        <v>31</v>
      </c>
      <c r="B345" s="1" t="s">
        <v>821</v>
      </c>
      <c r="C345">
        <v>128</v>
      </c>
      <c r="D345" s="2">
        <v>45834</v>
      </c>
    </row>
    <row r="346" spans="1:4" x14ac:dyDescent="0.2">
      <c r="A346" s="1" t="s">
        <v>20</v>
      </c>
      <c r="B346" s="1" t="s">
        <v>826</v>
      </c>
      <c r="C346">
        <v>62</v>
      </c>
      <c r="D346" s="2">
        <v>45835</v>
      </c>
    </row>
    <row r="347" spans="1:4" x14ac:dyDescent="0.2">
      <c r="A347" s="1" t="s">
        <v>23</v>
      </c>
      <c r="B347" s="1" t="s">
        <v>822</v>
      </c>
      <c r="C347">
        <v>72</v>
      </c>
      <c r="D347" s="2">
        <v>45835</v>
      </c>
    </row>
    <row r="348" spans="1:4" x14ac:dyDescent="0.2">
      <c r="A348" s="1" t="s">
        <v>31</v>
      </c>
      <c r="B348" s="1" t="s">
        <v>823</v>
      </c>
      <c r="C348">
        <v>88</v>
      </c>
      <c r="D348" s="2">
        <v>45835</v>
      </c>
    </row>
    <row r="349" spans="1:4" x14ac:dyDescent="0.2">
      <c r="A349" s="1" t="s">
        <v>34</v>
      </c>
      <c r="B349" s="1" t="s">
        <v>823</v>
      </c>
      <c r="C349">
        <v>64</v>
      </c>
      <c r="D349" s="2">
        <v>45835</v>
      </c>
    </row>
    <row r="350" spans="1:4" x14ac:dyDescent="0.2">
      <c r="A350" s="1" t="s">
        <v>59</v>
      </c>
      <c r="B350" s="1" t="s">
        <v>824</v>
      </c>
      <c r="C350">
        <v>130</v>
      </c>
      <c r="D350" s="2">
        <v>45835</v>
      </c>
    </row>
    <row r="351" spans="1:4" x14ac:dyDescent="0.2">
      <c r="A351" s="1" t="s">
        <v>31</v>
      </c>
      <c r="B351" s="1" t="s">
        <v>826</v>
      </c>
      <c r="C351">
        <v>18</v>
      </c>
      <c r="D351" s="2">
        <v>45835</v>
      </c>
    </row>
    <row r="352" spans="1:4" x14ac:dyDescent="0.2">
      <c r="A352" s="1" t="s">
        <v>23</v>
      </c>
      <c r="B352" s="1" t="s">
        <v>823</v>
      </c>
      <c r="C352">
        <v>89</v>
      </c>
      <c r="D352" s="2">
        <v>45835</v>
      </c>
    </row>
    <row r="353" spans="1:4" x14ac:dyDescent="0.2">
      <c r="A353" s="1" t="s">
        <v>37</v>
      </c>
      <c r="B353" s="1" t="s">
        <v>820</v>
      </c>
      <c r="C353">
        <v>33</v>
      </c>
      <c r="D353" s="2">
        <v>45835</v>
      </c>
    </row>
    <row r="354" spans="1:4" x14ac:dyDescent="0.2">
      <c r="A354" s="1" t="s">
        <v>31</v>
      </c>
      <c r="B354" s="1" t="s">
        <v>825</v>
      </c>
      <c r="C354">
        <v>89</v>
      </c>
      <c r="D354" s="2">
        <v>45835</v>
      </c>
    </row>
    <row r="355" spans="1:4" x14ac:dyDescent="0.2">
      <c r="A355" s="1" t="s">
        <v>20</v>
      </c>
      <c r="B355" s="1" t="s">
        <v>824</v>
      </c>
      <c r="C355">
        <v>173</v>
      </c>
      <c r="D355" s="2">
        <v>45835</v>
      </c>
    </row>
    <row r="356" spans="1:4" x14ac:dyDescent="0.2">
      <c r="A356" s="1" t="s">
        <v>31</v>
      </c>
      <c r="B356" s="1" t="s">
        <v>823</v>
      </c>
      <c r="C356">
        <v>55</v>
      </c>
      <c r="D356" s="2">
        <v>45835</v>
      </c>
    </row>
    <row r="357" spans="1:4" x14ac:dyDescent="0.2">
      <c r="A357" s="1" t="s">
        <v>17</v>
      </c>
      <c r="B357" s="1" t="s">
        <v>825</v>
      </c>
      <c r="C357">
        <v>78</v>
      </c>
      <c r="D357" s="2">
        <v>45835</v>
      </c>
    </row>
    <row r="358" spans="1:4" x14ac:dyDescent="0.2">
      <c r="A358" s="1" t="s">
        <v>20</v>
      </c>
      <c r="B358" s="1" t="s">
        <v>826</v>
      </c>
      <c r="C358">
        <v>5</v>
      </c>
      <c r="D358" s="2">
        <v>45835</v>
      </c>
    </row>
    <row r="359" spans="1:4" x14ac:dyDescent="0.2">
      <c r="A359" s="1" t="s">
        <v>23</v>
      </c>
      <c r="B359" s="1" t="s">
        <v>821</v>
      </c>
      <c r="C359">
        <v>85</v>
      </c>
      <c r="D359" s="2">
        <v>45835</v>
      </c>
    </row>
    <row r="360" spans="1:4" x14ac:dyDescent="0.2">
      <c r="A360" s="1" t="s">
        <v>59</v>
      </c>
      <c r="B360" s="1" t="s">
        <v>820</v>
      </c>
      <c r="C360">
        <v>117</v>
      </c>
      <c r="D360" s="2">
        <v>45835</v>
      </c>
    </row>
    <row r="361" spans="1:4" x14ac:dyDescent="0.2">
      <c r="A361" s="1" t="s">
        <v>31</v>
      </c>
      <c r="B361" s="1" t="s">
        <v>823</v>
      </c>
      <c r="C361">
        <v>49</v>
      </c>
      <c r="D361" s="2">
        <v>45835</v>
      </c>
    </row>
    <row r="362" spans="1:4" x14ac:dyDescent="0.2">
      <c r="A362" s="1" t="s">
        <v>17</v>
      </c>
      <c r="B362" s="1" t="s">
        <v>821</v>
      </c>
      <c r="C362">
        <v>112</v>
      </c>
      <c r="D362" s="2">
        <v>45836</v>
      </c>
    </row>
    <row r="363" spans="1:4" x14ac:dyDescent="0.2">
      <c r="A363" s="1" t="s">
        <v>23</v>
      </c>
      <c r="B363" s="1" t="s">
        <v>826</v>
      </c>
      <c r="C363">
        <v>134</v>
      </c>
      <c r="D363" s="2">
        <v>45836</v>
      </c>
    </row>
    <row r="364" spans="1:4" x14ac:dyDescent="0.2">
      <c r="A364" s="1" t="s">
        <v>17</v>
      </c>
      <c r="B364" s="1" t="s">
        <v>820</v>
      </c>
      <c r="C364">
        <v>94</v>
      </c>
      <c r="D364" s="2">
        <v>45836</v>
      </c>
    </row>
    <row r="365" spans="1:4" x14ac:dyDescent="0.2">
      <c r="A365" s="1" t="s">
        <v>25</v>
      </c>
      <c r="B365" s="1" t="s">
        <v>821</v>
      </c>
      <c r="C365">
        <v>182</v>
      </c>
      <c r="D365" s="2">
        <v>45836</v>
      </c>
    </row>
    <row r="366" spans="1:4" x14ac:dyDescent="0.2">
      <c r="A366" s="1" t="s">
        <v>31</v>
      </c>
      <c r="B366" s="1" t="s">
        <v>823</v>
      </c>
      <c r="C366">
        <v>142</v>
      </c>
      <c r="D366" s="2">
        <v>45836</v>
      </c>
    </row>
    <row r="367" spans="1:4" x14ac:dyDescent="0.2">
      <c r="A367" s="1" t="s">
        <v>37</v>
      </c>
      <c r="B367" s="1" t="s">
        <v>820</v>
      </c>
      <c r="C367">
        <v>123</v>
      </c>
      <c r="D367" s="2">
        <v>45836</v>
      </c>
    </row>
    <row r="368" spans="1:4" x14ac:dyDescent="0.2">
      <c r="A368" s="1" t="s">
        <v>59</v>
      </c>
      <c r="B368" s="1" t="s">
        <v>821</v>
      </c>
      <c r="C368">
        <v>60</v>
      </c>
      <c r="D368" s="2">
        <v>45836</v>
      </c>
    </row>
    <row r="369" spans="1:4" x14ac:dyDescent="0.2">
      <c r="A369" s="1" t="s">
        <v>31</v>
      </c>
      <c r="B369" s="1" t="s">
        <v>822</v>
      </c>
      <c r="C369">
        <v>11</v>
      </c>
      <c r="D369" s="2">
        <v>45836</v>
      </c>
    </row>
    <row r="370" spans="1:4" x14ac:dyDescent="0.2">
      <c r="A370" s="1" t="s">
        <v>34</v>
      </c>
      <c r="B370" s="1" t="s">
        <v>826</v>
      </c>
      <c r="C370">
        <v>126</v>
      </c>
      <c r="D370" s="2">
        <v>45836</v>
      </c>
    </row>
    <row r="371" spans="1:4" x14ac:dyDescent="0.2">
      <c r="A371" s="1" t="s">
        <v>8</v>
      </c>
      <c r="B371" s="1" t="s">
        <v>822</v>
      </c>
      <c r="C371">
        <v>104</v>
      </c>
      <c r="D371" s="2">
        <v>45836</v>
      </c>
    </row>
    <row r="372" spans="1:4" x14ac:dyDescent="0.2">
      <c r="A372" s="1" t="s">
        <v>8</v>
      </c>
      <c r="B372" s="1" t="s">
        <v>821</v>
      </c>
      <c r="C372">
        <v>43</v>
      </c>
      <c r="D372" s="2">
        <v>45836</v>
      </c>
    </row>
    <row r="373" spans="1:4" x14ac:dyDescent="0.2">
      <c r="A373" s="1" t="s">
        <v>8</v>
      </c>
      <c r="B373" s="1" t="s">
        <v>822</v>
      </c>
      <c r="C373">
        <v>150</v>
      </c>
      <c r="D373" s="2">
        <v>45836</v>
      </c>
    </row>
    <row r="374" spans="1:4" x14ac:dyDescent="0.2">
      <c r="A374" s="1" t="s">
        <v>25</v>
      </c>
      <c r="B374" s="1" t="s">
        <v>825</v>
      </c>
      <c r="C374">
        <v>54</v>
      </c>
      <c r="D374" s="2">
        <v>45836</v>
      </c>
    </row>
    <row r="375" spans="1:4" x14ac:dyDescent="0.2">
      <c r="A375" s="1" t="s">
        <v>25</v>
      </c>
      <c r="B375" s="1" t="s">
        <v>822</v>
      </c>
      <c r="C375">
        <v>87</v>
      </c>
      <c r="D375" s="2">
        <v>45837</v>
      </c>
    </row>
    <row r="376" spans="1:4" x14ac:dyDescent="0.2">
      <c r="A376" s="1" t="s">
        <v>37</v>
      </c>
      <c r="B376" s="1" t="s">
        <v>823</v>
      </c>
      <c r="C376">
        <v>158</v>
      </c>
      <c r="D376" s="2">
        <v>45837</v>
      </c>
    </row>
    <row r="377" spans="1:4" x14ac:dyDescent="0.2">
      <c r="A377" s="1" t="s">
        <v>17</v>
      </c>
      <c r="B377" s="1" t="s">
        <v>822</v>
      </c>
      <c r="C377">
        <v>55</v>
      </c>
      <c r="D377" s="2">
        <v>45837</v>
      </c>
    </row>
    <row r="378" spans="1:4" x14ac:dyDescent="0.2">
      <c r="A378" s="1" t="s">
        <v>37</v>
      </c>
      <c r="B378" s="1" t="s">
        <v>822</v>
      </c>
      <c r="C378">
        <v>89</v>
      </c>
      <c r="D378" s="2">
        <v>45837</v>
      </c>
    </row>
    <row r="379" spans="1:4" x14ac:dyDescent="0.2">
      <c r="A379" s="1" t="s">
        <v>31</v>
      </c>
      <c r="B379" s="1" t="s">
        <v>823</v>
      </c>
      <c r="C379">
        <v>115</v>
      </c>
      <c r="D379" s="2">
        <v>45837</v>
      </c>
    </row>
    <row r="380" spans="1:4" x14ac:dyDescent="0.2">
      <c r="A380" s="1" t="s">
        <v>59</v>
      </c>
      <c r="B380" s="1" t="s">
        <v>825</v>
      </c>
      <c r="C380">
        <v>95</v>
      </c>
      <c r="D380" s="2">
        <v>45837</v>
      </c>
    </row>
    <row r="381" spans="1:4" x14ac:dyDescent="0.2">
      <c r="A381" s="1" t="s">
        <v>23</v>
      </c>
      <c r="B381" s="1" t="s">
        <v>820</v>
      </c>
      <c r="C381">
        <v>91</v>
      </c>
      <c r="D381" s="2">
        <v>45837</v>
      </c>
    </row>
    <row r="382" spans="1:4" x14ac:dyDescent="0.2">
      <c r="A382" s="1" t="s">
        <v>20</v>
      </c>
      <c r="B382" s="1" t="s">
        <v>822</v>
      </c>
      <c r="C382">
        <v>103</v>
      </c>
      <c r="D382" s="2">
        <v>45837</v>
      </c>
    </row>
    <row r="383" spans="1:4" x14ac:dyDescent="0.2">
      <c r="A383" s="1" t="s">
        <v>20</v>
      </c>
      <c r="B383" s="1" t="s">
        <v>822</v>
      </c>
      <c r="C383">
        <v>73</v>
      </c>
      <c r="D383" s="2">
        <v>45837</v>
      </c>
    </row>
    <row r="384" spans="1:4" x14ac:dyDescent="0.2">
      <c r="A384" s="1" t="s">
        <v>37</v>
      </c>
      <c r="B384" s="1" t="s">
        <v>824</v>
      </c>
      <c r="C384">
        <v>111</v>
      </c>
      <c r="D384" s="2">
        <v>45837</v>
      </c>
    </row>
    <row r="385" spans="1:4" x14ac:dyDescent="0.2">
      <c r="A385" s="1" t="s">
        <v>31</v>
      </c>
      <c r="B385" s="1" t="s">
        <v>826</v>
      </c>
      <c r="C385">
        <v>133</v>
      </c>
      <c r="D385" s="2">
        <v>45837</v>
      </c>
    </row>
    <row r="386" spans="1:4" x14ac:dyDescent="0.2">
      <c r="A386" s="1" t="s">
        <v>31</v>
      </c>
      <c r="B386" s="1" t="s">
        <v>821</v>
      </c>
      <c r="C386">
        <v>56</v>
      </c>
      <c r="D386" s="2">
        <v>45837</v>
      </c>
    </row>
    <row r="387" spans="1:4" x14ac:dyDescent="0.2">
      <c r="A387" s="1" t="s">
        <v>31</v>
      </c>
      <c r="B387" s="1" t="s">
        <v>825</v>
      </c>
      <c r="C387">
        <v>147</v>
      </c>
      <c r="D387" s="2">
        <v>45838</v>
      </c>
    </row>
    <row r="388" spans="1:4" x14ac:dyDescent="0.2">
      <c r="A388" s="1" t="s">
        <v>25</v>
      </c>
      <c r="B388" s="1" t="s">
        <v>820</v>
      </c>
      <c r="C388">
        <v>57</v>
      </c>
      <c r="D388" s="2">
        <v>45838</v>
      </c>
    </row>
    <row r="389" spans="1:4" x14ac:dyDescent="0.2">
      <c r="A389" s="1" t="s">
        <v>59</v>
      </c>
      <c r="B389" s="1" t="s">
        <v>822</v>
      </c>
      <c r="C389">
        <v>61</v>
      </c>
      <c r="D389" s="2">
        <v>45838</v>
      </c>
    </row>
    <row r="390" spans="1:4" x14ac:dyDescent="0.2">
      <c r="A390" s="1" t="s">
        <v>25</v>
      </c>
      <c r="B390" s="1" t="s">
        <v>825</v>
      </c>
      <c r="C390">
        <v>99</v>
      </c>
      <c r="D390" s="2">
        <v>45838</v>
      </c>
    </row>
    <row r="391" spans="1:4" x14ac:dyDescent="0.2">
      <c r="A391" s="1" t="s">
        <v>20</v>
      </c>
      <c r="B391" s="1" t="s">
        <v>826</v>
      </c>
      <c r="C391">
        <v>44</v>
      </c>
      <c r="D391" s="2">
        <v>45838</v>
      </c>
    </row>
    <row r="392" spans="1:4" x14ac:dyDescent="0.2">
      <c r="A392" s="1" t="s">
        <v>20</v>
      </c>
      <c r="B392" s="1" t="s">
        <v>824</v>
      </c>
      <c r="C392">
        <v>100</v>
      </c>
      <c r="D392" s="2">
        <v>45838</v>
      </c>
    </row>
    <row r="393" spans="1:4" x14ac:dyDescent="0.2">
      <c r="A393" s="1" t="s">
        <v>34</v>
      </c>
      <c r="B393" s="1" t="s">
        <v>820</v>
      </c>
      <c r="C393">
        <v>153</v>
      </c>
      <c r="D393" s="2">
        <v>45838</v>
      </c>
    </row>
    <row r="394" spans="1:4" x14ac:dyDescent="0.2">
      <c r="A394" s="1" t="s">
        <v>25</v>
      </c>
      <c r="B394" s="1" t="s">
        <v>826</v>
      </c>
      <c r="C394">
        <v>163</v>
      </c>
      <c r="D394" s="2">
        <v>45838</v>
      </c>
    </row>
    <row r="395" spans="1:4" x14ac:dyDescent="0.2">
      <c r="A395" s="1" t="s">
        <v>17</v>
      </c>
      <c r="B395" s="1" t="s">
        <v>823</v>
      </c>
      <c r="C395">
        <v>79</v>
      </c>
      <c r="D395" s="2">
        <v>45838</v>
      </c>
    </row>
    <row r="396" spans="1:4" x14ac:dyDescent="0.2">
      <c r="A396" s="1" t="s">
        <v>34</v>
      </c>
      <c r="B396" s="1" t="s">
        <v>822</v>
      </c>
      <c r="C396">
        <v>102</v>
      </c>
      <c r="D396" s="2">
        <v>45838</v>
      </c>
    </row>
    <row r="397" spans="1:4" x14ac:dyDescent="0.2">
      <c r="A397" s="1" t="s">
        <v>31</v>
      </c>
      <c r="B397" s="1" t="s">
        <v>820</v>
      </c>
      <c r="C397">
        <v>71</v>
      </c>
      <c r="D397" s="2">
        <v>45838</v>
      </c>
    </row>
    <row r="398" spans="1:4" x14ac:dyDescent="0.2">
      <c r="A398" s="1" t="s">
        <v>59</v>
      </c>
      <c r="B398" s="1" t="s">
        <v>824</v>
      </c>
      <c r="C398">
        <v>104</v>
      </c>
      <c r="D398" s="2">
        <v>45838</v>
      </c>
    </row>
    <row r="399" spans="1:4" x14ac:dyDescent="0.2">
      <c r="A399" s="1" t="s">
        <v>8</v>
      </c>
      <c r="B399" s="1" t="s">
        <v>825</v>
      </c>
      <c r="C399">
        <v>79</v>
      </c>
      <c r="D399" s="2">
        <v>45838</v>
      </c>
    </row>
    <row r="400" spans="1:4" x14ac:dyDescent="0.2">
      <c r="A400" s="1" t="s">
        <v>8</v>
      </c>
      <c r="B400" s="1" t="s">
        <v>821</v>
      </c>
      <c r="C400">
        <v>128</v>
      </c>
      <c r="D400" s="2">
        <v>45838</v>
      </c>
    </row>
    <row r="401" spans="1:4" x14ac:dyDescent="0.2">
      <c r="A401" s="1" t="s">
        <v>17</v>
      </c>
      <c r="B401" s="1" t="s">
        <v>823</v>
      </c>
      <c r="C401">
        <v>85</v>
      </c>
      <c r="D401" s="2">
        <v>45838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7295-8C50-7F48-8D7D-C618CF116B94}">
  <dimension ref="A1:O63"/>
  <sheetViews>
    <sheetView zoomScaleNormal="100" workbookViewId="0">
      <selection activeCell="D42" sqref="D42"/>
    </sheetView>
  </sheetViews>
  <sheetFormatPr baseColWidth="10" defaultRowHeight="16" x14ac:dyDescent="0.2"/>
  <cols>
    <col min="1" max="1" width="26.6640625" customWidth="1"/>
    <col min="2" max="2" width="15.6640625" bestFit="1" customWidth="1"/>
    <col min="3" max="3" width="16.5" bestFit="1" customWidth="1"/>
    <col min="4" max="4" width="16.83203125" bestFit="1" customWidth="1"/>
    <col min="5" max="5" width="19.33203125" bestFit="1" customWidth="1"/>
    <col min="6" max="6" width="17.5" bestFit="1" customWidth="1"/>
    <col min="7" max="7" width="27" bestFit="1" customWidth="1"/>
    <col min="8" max="8" width="17.6640625" bestFit="1" customWidth="1"/>
    <col min="9" max="9" width="18.5" bestFit="1" customWidth="1"/>
    <col min="10" max="10" width="16.83203125" bestFit="1" customWidth="1"/>
    <col min="12" max="12" width="18.6640625" bestFit="1" customWidth="1"/>
    <col min="13" max="13" width="10.6640625" bestFit="1" customWidth="1"/>
    <col min="14" max="14" width="15.1640625" bestFit="1" customWidth="1"/>
    <col min="15" max="15" width="14.83203125" bestFit="1" customWidth="1"/>
  </cols>
  <sheetData>
    <row r="1" spans="1:10" ht="24" x14ac:dyDescent="0.3">
      <c r="A1" s="54" t="s">
        <v>857</v>
      </c>
      <c r="B1" s="54"/>
      <c r="C1" s="54"/>
      <c r="D1" s="54"/>
      <c r="E1" s="54"/>
      <c r="F1" s="54"/>
      <c r="G1" s="54"/>
      <c r="H1" s="54"/>
      <c r="I1" s="54"/>
      <c r="J1" s="54"/>
    </row>
    <row r="3" spans="1:10" x14ac:dyDescent="0.2">
      <c r="A3" s="3" t="s">
        <v>834</v>
      </c>
    </row>
    <row r="4" spans="1:10" x14ac:dyDescent="0.2">
      <c r="A4" s="3" t="s">
        <v>835</v>
      </c>
    </row>
    <row r="5" spans="1:10" x14ac:dyDescent="0.2">
      <c r="A5" s="3" t="s">
        <v>836</v>
      </c>
    </row>
    <row r="6" spans="1:10" x14ac:dyDescent="0.2">
      <c r="A6" s="3"/>
    </row>
    <row r="7" spans="1:10" x14ac:dyDescent="0.2">
      <c r="A7" s="55" t="s">
        <v>843</v>
      </c>
      <c r="B7" s="55"/>
      <c r="C7" s="55"/>
      <c r="D7" s="55"/>
      <c r="E7" s="55"/>
      <c r="F7" s="55"/>
      <c r="G7" s="55"/>
    </row>
    <row r="8" spans="1:10" x14ac:dyDescent="0.2">
      <c r="A8" s="14" t="s">
        <v>827</v>
      </c>
      <c r="B8" s="15" t="s">
        <v>830</v>
      </c>
      <c r="C8" s="15" t="s">
        <v>831</v>
      </c>
      <c r="D8" s="15" t="s">
        <v>828</v>
      </c>
      <c r="E8" s="15" t="s">
        <v>829</v>
      </c>
      <c r="F8" s="16" t="s">
        <v>833</v>
      </c>
      <c r="G8" s="15" t="s">
        <v>845</v>
      </c>
    </row>
    <row r="9" spans="1:10" x14ac:dyDescent="0.2">
      <c r="A9" s="29" t="s">
        <v>31</v>
      </c>
      <c r="B9" s="10" cm="1">
        <f t="array" ref="B9">SUMPRODUCT((traffic_sources!$A$2:$A$401=$A9)*((traffic_sources!$B$2:$B$401="ai_overview")+(traffic_sources!$B$2:$B$401="featured_snippet")+(traffic_sources!$B$2:$B$401="people_also_ask"))*(traffic_sources!$D$2:$D$401&gt;=45809)*(traffic_sources!$D$2:$D$401&lt;=45823)*traffic_sources!$C$2:$C$401)</f>
        <v>716</v>
      </c>
      <c r="C9" s="10" cm="1">
        <f t="array" ref="C9">SUMPRODUCT((traffic_sources!$A$2:$A$401=$A9)*((traffic_sources!$B$2:$B$401="ai_overview")+(traffic_sources!$B$2:$B$401="featured_snippet")+(traffic_sources!$B$2:$B$401="people_also_ask"))*(traffic_sources!$D$2:$D$401&gt;=45824)*(traffic_sources!$D$2:$D$401&lt;=45838)*traffic_sources!$C$2:$C$401)</f>
        <v>1966</v>
      </c>
      <c r="D9" s="17">
        <f t="shared" ref="D9:D17" si="0">C9-B9</f>
        <v>1250</v>
      </c>
      <c r="E9" s="11">
        <f t="shared" ref="E9:E17" si="1">IF(B9=0,IF(C9=0,0,1),(C9-B9)/B9)</f>
        <v>1.7458100558659218</v>
      </c>
      <c r="F9" s="18">
        <v>1</v>
      </c>
      <c r="G9" s="6">
        <f t="shared" ref="G9:G17" si="2">B9+C9</f>
        <v>2682</v>
      </c>
    </row>
    <row r="10" spans="1:10" x14ac:dyDescent="0.2">
      <c r="A10" s="29" t="s">
        <v>8</v>
      </c>
      <c r="B10" s="10" cm="1">
        <f t="array" ref="B10">SUMPRODUCT((traffic_sources!$A$2:$A$401=$A10)*((traffic_sources!$B$2:$B$401="ai_overview")+(traffic_sources!$B$2:$B$401="featured_snippet")+(traffic_sources!$B$2:$B$401="people_also_ask"))*(traffic_sources!$D$2:$D$401&gt;=45809)*(traffic_sources!$D$2:$D$401&lt;=45823)*traffic_sources!$C$2:$C$401)</f>
        <v>494</v>
      </c>
      <c r="C10" s="10" cm="1">
        <f t="array" ref="C10">SUMPRODUCT((traffic_sources!$A$2:$A$401=$A10)*((traffic_sources!$B$2:$B$401="ai_overview")+(traffic_sources!$B$2:$B$401="featured_snippet")+(traffic_sources!$B$2:$B$401="people_also_ask"))*(traffic_sources!$D$2:$D$401&gt;=45824)*(traffic_sources!$D$2:$D$401&lt;=45838)*traffic_sources!$C$2:$C$401)</f>
        <v>1117</v>
      </c>
      <c r="D10" s="17">
        <f t="shared" si="0"/>
        <v>623</v>
      </c>
      <c r="E10" s="11">
        <f t="shared" si="1"/>
        <v>1.2611336032388665</v>
      </c>
      <c r="F10" s="18">
        <v>2</v>
      </c>
      <c r="G10" s="6">
        <f t="shared" si="2"/>
        <v>1611</v>
      </c>
    </row>
    <row r="11" spans="1:10" x14ac:dyDescent="0.2">
      <c r="A11" s="29" t="s">
        <v>37</v>
      </c>
      <c r="B11" s="10" cm="1">
        <f t="array" ref="B11">SUMPRODUCT((traffic_sources!$A$2:$A$401=$A11)*((traffic_sources!$B$2:$B$401="ai_overview")+(traffic_sources!$B$2:$B$401="featured_snippet")+(traffic_sources!$B$2:$B$401="people_also_ask"))*(traffic_sources!$D$2:$D$401&gt;=45809)*(traffic_sources!$D$2:$D$401&lt;=45823)*traffic_sources!$C$2:$C$401)</f>
        <v>611</v>
      </c>
      <c r="C11" s="10" cm="1">
        <f t="array" ref="C11">SUMPRODUCT((traffic_sources!$A$2:$A$401=$A11)*((traffic_sources!$B$2:$B$401="ai_overview")+(traffic_sources!$B$2:$B$401="featured_snippet")+(traffic_sources!$B$2:$B$401="people_also_ask"))*(traffic_sources!$D$2:$D$401&gt;=45824)*(traffic_sources!$D$2:$D$401&lt;=45838)*traffic_sources!$C$2:$C$401)</f>
        <v>667</v>
      </c>
      <c r="D11" s="17">
        <f t="shared" si="0"/>
        <v>56</v>
      </c>
      <c r="E11" s="11">
        <f t="shared" si="1"/>
        <v>9.1653027823240585E-2</v>
      </c>
      <c r="F11" s="18">
        <v>3</v>
      </c>
      <c r="G11" s="6">
        <f t="shared" si="2"/>
        <v>1278</v>
      </c>
    </row>
    <row r="12" spans="1:10" x14ac:dyDescent="0.2">
      <c r="A12" s="29" t="s">
        <v>25</v>
      </c>
      <c r="B12" s="10" cm="1">
        <f t="array" ref="B12">SUMPRODUCT((traffic_sources!$A$2:$A$401=$A12)*((traffic_sources!$B$2:$B$401="ai_overview")+(traffic_sources!$B$2:$B$401="featured_snippet")+(traffic_sources!$B$2:$B$401="people_also_ask"))*(traffic_sources!$D$2:$D$401&gt;=45809)*(traffic_sources!$D$2:$D$401&lt;=45823)*traffic_sources!$C$2:$C$401)</f>
        <v>1154</v>
      </c>
      <c r="C12" s="10" cm="1">
        <f t="array" ref="C12">SUMPRODUCT((traffic_sources!$A$2:$A$401=$A12)*((traffic_sources!$B$2:$B$401="ai_overview")+(traffic_sources!$B$2:$B$401="featured_snippet")+(traffic_sources!$B$2:$B$401="people_also_ask"))*(traffic_sources!$D$2:$D$401&gt;=45824)*(traffic_sources!$D$2:$D$401&lt;=45838)*traffic_sources!$C$2:$C$401)</f>
        <v>1087</v>
      </c>
      <c r="D12" s="17">
        <f t="shared" si="0"/>
        <v>-67</v>
      </c>
      <c r="E12" s="11">
        <f t="shared" si="1"/>
        <v>-5.8058925476603122E-2</v>
      </c>
      <c r="F12" s="18">
        <v>4</v>
      </c>
      <c r="G12" s="6">
        <f t="shared" si="2"/>
        <v>2241</v>
      </c>
    </row>
    <row r="13" spans="1:10" x14ac:dyDescent="0.2">
      <c r="A13" s="29" t="s">
        <v>59</v>
      </c>
      <c r="B13" s="10" cm="1">
        <f t="array" ref="B13">SUMPRODUCT((traffic_sources!$A$2:$A$401=$A13)*((traffic_sources!$B$2:$B$401="ai_overview")+(traffic_sources!$B$2:$B$401="featured_snippet")+(traffic_sources!$B$2:$B$401="people_also_ask"))*(traffic_sources!$D$2:$D$401&gt;=45809)*(traffic_sources!$D$2:$D$401&lt;=45823)*traffic_sources!$C$2:$C$401)</f>
        <v>1264</v>
      </c>
      <c r="C13" s="10" cm="1">
        <f t="array" ref="C13">SUMPRODUCT((traffic_sources!$A$2:$A$401=$A13)*((traffic_sources!$B$2:$B$401="ai_overview")+(traffic_sources!$B$2:$B$401="featured_snippet")+(traffic_sources!$B$2:$B$401="people_also_ask"))*(traffic_sources!$D$2:$D$401&gt;=45824)*(traffic_sources!$D$2:$D$401&lt;=45838)*traffic_sources!$C$2:$C$401)</f>
        <v>1104</v>
      </c>
      <c r="D13" s="17">
        <f t="shared" si="0"/>
        <v>-160</v>
      </c>
      <c r="E13" s="11">
        <f t="shared" si="1"/>
        <v>-0.12658227848101267</v>
      </c>
      <c r="F13" s="18">
        <v>5</v>
      </c>
      <c r="G13" s="6">
        <f t="shared" si="2"/>
        <v>2368</v>
      </c>
    </row>
    <row r="14" spans="1:10" x14ac:dyDescent="0.2">
      <c r="A14" s="29" t="s">
        <v>20</v>
      </c>
      <c r="B14" s="10" cm="1">
        <f t="array" ref="B14">SUMPRODUCT((traffic_sources!$A$2:$A$401=$A14)*((traffic_sources!$B$2:$B$401="ai_overview")+(traffic_sources!$B$2:$B$401="featured_snippet")+(traffic_sources!$B$2:$B$401="people_also_ask"))*(traffic_sources!$D$2:$D$401&gt;=45809)*(traffic_sources!$D$2:$D$401&lt;=45823)*traffic_sources!$C$2:$C$401)</f>
        <v>571</v>
      </c>
      <c r="C14" s="10" cm="1">
        <f t="array" ref="C14">SUMPRODUCT((traffic_sources!$A$2:$A$401=$A14)*((traffic_sources!$B$2:$B$401="ai_overview")+(traffic_sources!$B$2:$B$401="featured_snippet")+(traffic_sources!$B$2:$B$401="people_also_ask"))*(traffic_sources!$D$2:$D$401&gt;=45824)*(traffic_sources!$D$2:$D$401&lt;=45838)*traffic_sources!$C$2:$C$401)</f>
        <v>477</v>
      </c>
      <c r="D14" s="17">
        <f t="shared" si="0"/>
        <v>-94</v>
      </c>
      <c r="E14" s="11">
        <f t="shared" si="1"/>
        <v>-0.16462346760070051</v>
      </c>
      <c r="F14" s="18">
        <v>6</v>
      </c>
      <c r="G14" s="6">
        <f t="shared" si="2"/>
        <v>1048</v>
      </c>
    </row>
    <row r="15" spans="1:10" x14ac:dyDescent="0.2">
      <c r="A15" s="29" t="s">
        <v>23</v>
      </c>
      <c r="B15" s="10" cm="1">
        <f t="array" ref="B15">SUMPRODUCT((traffic_sources!$A$2:$A$401=$A15)*((traffic_sources!$B$2:$B$401="ai_overview")+(traffic_sources!$B$2:$B$401="featured_snippet")+(traffic_sources!$B$2:$B$401="people_also_ask"))*(traffic_sources!$D$2:$D$401&gt;=45809)*(traffic_sources!$D$2:$D$401&lt;=45823)*traffic_sources!$C$2:$C$401)</f>
        <v>1210</v>
      </c>
      <c r="C15" s="10" cm="1">
        <f t="array" ref="C15">SUMPRODUCT((traffic_sources!$A$2:$A$401=$A15)*((traffic_sources!$B$2:$B$401="ai_overview")+(traffic_sources!$B$2:$B$401="featured_snippet")+(traffic_sources!$B$2:$B$401="people_also_ask"))*(traffic_sources!$D$2:$D$401&gt;=45824)*(traffic_sources!$D$2:$D$401&lt;=45838)*traffic_sources!$C$2:$C$401)</f>
        <v>921</v>
      </c>
      <c r="D15" s="17">
        <f t="shared" si="0"/>
        <v>-289</v>
      </c>
      <c r="E15" s="11">
        <f t="shared" si="1"/>
        <v>-0.23884297520661157</v>
      </c>
      <c r="F15" s="18">
        <v>7</v>
      </c>
      <c r="G15" s="6">
        <f t="shared" si="2"/>
        <v>2131</v>
      </c>
    </row>
    <row r="16" spans="1:10" x14ac:dyDescent="0.2">
      <c r="A16" s="29" t="s">
        <v>17</v>
      </c>
      <c r="B16" s="10" cm="1">
        <f t="array" ref="B16">SUMPRODUCT((traffic_sources!$A$2:$A$401=$A16)*((traffic_sources!$B$2:$B$401="ai_overview")+(traffic_sources!$B$2:$B$401="featured_snippet")+(traffic_sources!$B$2:$B$401="people_also_ask"))*(traffic_sources!$D$2:$D$401&gt;=45809)*(traffic_sources!$D$2:$D$401&lt;=45823)*traffic_sources!$C$2:$C$401)</f>
        <v>1357</v>
      </c>
      <c r="C16" s="10" cm="1">
        <f t="array" ref="C16">SUMPRODUCT((traffic_sources!$A$2:$A$401=$A16)*((traffic_sources!$B$2:$B$401="ai_overview")+(traffic_sources!$B$2:$B$401="featured_snippet")+(traffic_sources!$B$2:$B$401="people_also_ask"))*(traffic_sources!$D$2:$D$401&gt;=45824)*(traffic_sources!$D$2:$D$401&lt;=45838)*traffic_sources!$C$2:$C$401)</f>
        <v>985</v>
      </c>
      <c r="D16" s="17">
        <f t="shared" si="0"/>
        <v>-372</v>
      </c>
      <c r="E16" s="11">
        <f t="shared" si="1"/>
        <v>-0.27413411938098747</v>
      </c>
      <c r="F16" s="18">
        <v>8</v>
      </c>
      <c r="G16" s="6">
        <f t="shared" si="2"/>
        <v>2342</v>
      </c>
    </row>
    <row r="17" spans="1:10" x14ac:dyDescent="0.2">
      <c r="A17" s="30" t="s">
        <v>34</v>
      </c>
      <c r="B17" s="12" cm="1">
        <f t="array" ref="B17">SUMPRODUCT((traffic_sources!$A$2:$A$401=$A17)*((traffic_sources!$B$2:$B$401="ai_overview")+(traffic_sources!$B$2:$B$401="featured_snippet")+(traffic_sources!$B$2:$B$401="people_also_ask"))*(traffic_sources!$D$2:$D$401&gt;=45809)*(traffic_sources!$D$2:$D$401&lt;=45823)*traffic_sources!$C$2:$C$401)</f>
        <v>1061</v>
      </c>
      <c r="C17" s="12" cm="1">
        <f t="array" ref="C17">SUMPRODUCT((traffic_sources!$A$2:$A$401=$A17)*((traffic_sources!$B$2:$B$401="ai_overview")+(traffic_sources!$B$2:$B$401="featured_snippet")+(traffic_sources!$B$2:$B$401="people_also_ask"))*(traffic_sources!$D$2:$D$401&gt;=45824)*(traffic_sources!$D$2:$D$401&lt;=45838)*traffic_sources!$C$2:$C$401)</f>
        <v>660</v>
      </c>
      <c r="D17" s="19">
        <f t="shared" si="0"/>
        <v>-401</v>
      </c>
      <c r="E17" s="13">
        <f t="shared" si="1"/>
        <v>-0.37794533459000945</v>
      </c>
      <c r="F17" s="8">
        <v>9</v>
      </c>
      <c r="G17" s="6">
        <f t="shared" si="2"/>
        <v>1721</v>
      </c>
    </row>
    <row r="19" spans="1:10" x14ac:dyDescent="0.2">
      <c r="A19" s="55" t="s">
        <v>844</v>
      </c>
      <c r="B19" s="56"/>
      <c r="C19" s="56"/>
      <c r="D19" s="56"/>
      <c r="E19" s="56"/>
      <c r="F19" s="56"/>
      <c r="G19" s="56"/>
      <c r="H19" s="56"/>
      <c r="I19" s="56"/>
      <c r="J19" s="56"/>
    </row>
    <row r="20" spans="1:10" x14ac:dyDescent="0.2">
      <c r="A20" s="7"/>
      <c r="B20" s="57" t="s">
        <v>825</v>
      </c>
      <c r="C20" s="57"/>
      <c r="D20" s="57"/>
      <c r="E20" s="58" t="s">
        <v>821</v>
      </c>
      <c r="F20" s="58"/>
      <c r="G20" s="58"/>
      <c r="H20" s="59" t="s">
        <v>820</v>
      </c>
      <c r="I20" s="59"/>
      <c r="J20" s="59"/>
    </row>
    <row r="21" spans="1:10" x14ac:dyDescent="0.2">
      <c r="A21" s="20" t="s">
        <v>827</v>
      </c>
      <c r="B21" s="15" t="s">
        <v>830</v>
      </c>
      <c r="C21" s="15" t="s">
        <v>831</v>
      </c>
      <c r="D21" s="15" t="s">
        <v>832</v>
      </c>
      <c r="E21" s="15" t="s">
        <v>837</v>
      </c>
      <c r="F21" s="15" t="s">
        <v>838</v>
      </c>
      <c r="G21" s="15" t="s">
        <v>839</v>
      </c>
      <c r="H21" s="15" t="s">
        <v>840</v>
      </c>
      <c r="I21" s="15" t="s">
        <v>841</v>
      </c>
      <c r="J21" s="15" t="s">
        <v>842</v>
      </c>
    </row>
    <row r="22" spans="1:10" x14ac:dyDescent="0.2">
      <c r="A22" s="31" t="s">
        <v>31</v>
      </c>
      <c r="B22" s="10">
        <f>SUMIFS(traffic_sources!$C$2:$C$401,traffic_sources!$A$2:$A$401,$A22,traffic_sources!$B$2:$B$401,"ai_overview",traffic_sources!$D$2:$D$401,"&gt;=45809",traffic_sources!$D$2:$D$401,"&lt;=45823")</f>
        <v>114</v>
      </c>
      <c r="C22" s="10">
        <f>SUMIFS(traffic_sources!$C$2:$C$401,traffic_sources!$A$2:$A$401,$A22,traffic_sources!$B$2:$B$401,"ai_overview",traffic_sources!$D$2:$D$401,"&gt;=45824",traffic_sources!$D$2:$D$401,"&lt;=45838")</f>
        <v>705</v>
      </c>
      <c r="D22" s="11">
        <f>IF(B22=0,IF(C22=0,0,1),(C22-B22)/B22)</f>
        <v>5.1842105263157894</v>
      </c>
      <c r="E22" s="10">
        <f>SUMIFS(traffic_sources!$C$2:$C$401,traffic_sources!$A$2:$A$401,$A22,traffic_sources!$B$2:$B$401,"featured_snippet",traffic_sources!$D$2:$D$401,"&gt;=45809",traffic_sources!$D$2:$D$401,"&lt;=45823")</f>
        <v>213</v>
      </c>
      <c r="F22" s="10">
        <f>SUMIFS(traffic_sources!$C$2:$C$401,traffic_sources!$A$2:$A$401,$A22,traffic_sources!$B$2:$B$401,"featured_snippet",traffic_sources!$D$2:$D$401,"&gt;=45824",traffic_sources!$D$2:$D$401,"&lt;=45838")</f>
        <v>630</v>
      </c>
      <c r="G22" s="11">
        <f>IF(E22=0,IF(F22=0,0,1),(F22-E22)/E22)</f>
        <v>1.9577464788732395</v>
      </c>
      <c r="H22" s="10">
        <f>SUMIFS(traffic_sources!$C$2:$C$401,traffic_sources!$A$2:$A$401,$A22,traffic_sources!$B$2:$B$401,"people_also_ask",traffic_sources!$D$2:$D$401,"&gt;=45809",traffic_sources!$D$2:$D$401,"&lt;=45823")</f>
        <v>389</v>
      </c>
      <c r="I22" s="10">
        <f>SUMIFS(traffic_sources!$C$2:$C$401,traffic_sources!$A$2:$A$401,$A22,traffic_sources!$B$2:$B$401,"people_also_ask",traffic_sources!$D$2:$D$401,"&gt;=45824",traffic_sources!$D$2:$D$401,"&lt;=45838")</f>
        <v>631</v>
      </c>
      <c r="J22" s="11">
        <f>IF(H22=0,IF(I22=0,0,1),(I22-H22)/H22)</f>
        <v>0.62210796915167099</v>
      </c>
    </row>
    <row r="23" spans="1:10" x14ac:dyDescent="0.2">
      <c r="A23" s="31" t="s">
        <v>8</v>
      </c>
      <c r="B23" s="10">
        <f>SUMIFS(traffic_sources!$C$2:$C$401,traffic_sources!$A$2:$A$401,$A23,traffic_sources!$B$2:$B$401,"ai_overview",traffic_sources!$D$2:$D$401,"&gt;=45809",traffic_sources!$D$2:$D$401,"&lt;=45823")</f>
        <v>424</v>
      </c>
      <c r="C23" s="10">
        <f>SUMIFS(traffic_sources!$C$2:$C$401,traffic_sources!$A$2:$A$401,$A23,traffic_sources!$B$2:$B$401,"ai_overview",traffic_sources!$D$2:$D$401,"&gt;=45824",traffic_sources!$D$2:$D$401,"&lt;=45838")</f>
        <v>488</v>
      </c>
      <c r="D23" s="11">
        <f t="shared" ref="D23:D30" si="3">IF(B23=0,IF(C23=0,0,1),(C23-B23)/B23)</f>
        <v>0.15094339622641509</v>
      </c>
      <c r="E23" s="10">
        <f>SUMIFS(traffic_sources!$C$2:$C$401,traffic_sources!$A$2:$A$401,$A23,traffic_sources!$B$2:$B$401,"featured_snippet",traffic_sources!$D$2:$D$401,"&gt;=45809",traffic_sources!$D$2:$D$401,"&lt;=45823")</f>
        <v>70</v>
      </c>
      <c r="F23" s="10">
        <f>SUMIFS(traffic_sources!$C$2:$C$401,traffic_sources!$A$2:$A$401,$A23,traffic_sources!$B$2:$B$401,"featured_snippet",traffic_sources!$D$2:$D$401,"&gt;=45824",traffic_sources!$D$2:$D$401,"&lt;=45838")</f>
        <v>302</v>
      </c>
      <c r="G23" s="11">
        <f t="shared" ref="G23:G30" si="4">IF(E23=0,IF(F23=0,0,1),(F23-E23)/E23)</f>
        <v>3.3142857142857145</v>
      </c>
      <c r="H23" s="10">
        <f>SUMIFS(traffic_sources!$C$2:$C$401,traffic_sources!$A$2:$A$401,$A23,traffic_sources!$B$2:$B$401,"people_also_ask",traffic_sources!$D$2:$D$401,"&gt;=45809",traffic_sources!$D$2:$D$401,"&lt;=45823")</f>
        <v>0</v>
      </c>
      <c r="I23" s="10">
        <f>SUMIFS(traffic_sources!$C$2:$C$401,traffic_sources!$A$2:$A$401,$A23,traffic_sources!$B$2:$B$401,"people_also_ask",traffic_sources!$D$2:$D$401,"&gt;=45824",traffic_sources!$D$2:$D$401,"&lt;=45838")</f>
        <v>327</v>
      </c>
      <c r="J23" s="11">
        <f t="shared" ref="J23:J30" si="5">IF(H23=0,IF(I23=0,0,1),(I23-H23)/H23)</f>
        <v>1</v>
      </c>
    </row>
    <row r="24" spans="1:10" x14ac:dyDescent="0.2">
      <c r="A24" s="31" t="s">
        <v>37</v>
      </c>
      <c r="B24" s="10">
        <f>SUMIFS(traffic_sources!$C$2:$C$401,traffic_sources!$A$2:$A$401,$A24,traffic_sources!$B$2:$B$401,"ai_overview",traffic_sources!$D$2:$D$401,"&gt;=45809",traffic_sources!$D$2:$D$401,"&lt;=45823")</f>
        <v>351</v>
      </c>
      <c r="C24" s="10">
        <f>SUMIFS(traffic_sources!$C$2:$C$401,traffic_sources!$A$2:$A$401,$A24,traffic_sources!$B$2:$B$401,"ai_overview",traffic_sources!$D$2:$D$401,"&gt;=45824",traffic_sources!$D$2:$D$401,"&lt;=45838")</f>
        <v>76</v>
      </c>
      <c r="D24" s="11">
        <f t="shared" si="3"/>
        <v>-0.7834757834757835</v>
      </c>
      <c r="E24" s="10">
        <f>SUMIFS(traffic_sources!$C$2:$C$401,traffic_sources!$A$2:$A$401,$A24,traffic_sources!$B$2:$B$401,"featured_snippet",traffic_sources!$D$2:$D$401,"&gt;=45809",traffic_sources!$D$2:$D$401,"&lt;=45823")</f>
        <v>34</v>
      </c>
      <c r="F24" s="10">
        <f>SUMIFS(traffic_sources!$C$2:$C$401,traffic_sources!$A$2:$A$401,$A24,traffic_sources!$B$2:$B$401,"featured_snippet",traffic_sources!$D$2:$D$401,"&gt;=45824",traffic_sources!$D$2:$D$401,"&lt;=45838")</f>
        <v>435</v>
      </c>
      <c r="G24" s="11">
        <f t="shared" si="4"/>
        <v>11.794117647058824</v>
      </c>
      <c r="H24" s="10">
        <f>SUMIFS(traffic_sources!$C$2:$C$401,traffic_sources!$A$2:$A$401,$A24,traffic_sources!$B$2:$B$401,"people_also_ask",traffic_sources!$D$2:$D$401,"&gt;=45809",traffic_sources!$D$2:$D$401,"&lt;=45823")</f>
        <v>226</v>
      </c>
      <c r="I24" s="10">
        <f>SUMIFS(traffic_sources!$C$2:$C$401,traffic_sources!$A$2:$A$401,$A24,traffic_sources!$B$2:$B$401,"people_also_ask",traffic_sources!$D$2:$D$401,"&gt;=45824",traffic_sources!$D$2:$D$401,"&lt;=45838")</f>
        <v>156</v>
      </c>
      <c r="J24" s="11">
        <f t="shared" si="5"/>
        <v>-0.30973451327433627</v>
      </c>
    </row>
    <row r="25" spans="1:10" x14ac:dyDescent="0.2">
      <c r="A25" s="31" t="s">
        <v>25</v>
      </c>
      <c r="B25" s="10">
        <f>SUMIFS(traffic_sources!$C$2:$C$401,traffic_sources!$A$2:$A$401,$A25,traffic_sources!$B$2:$B$401,"ai_overview",traffic_sources!$D$2:$D$401,"&gt;=45809",traffic_sources!$D$2:$D$401,"&lt;=45823")</f>
        <v>586</v>
      </c>
      <c r="C25" s="10">
        <f>SUMIFS(traffic_sources!$C$2:$C$401,traffic_sources!$A$2:$A$401,$A25,traffic_sources!$B$2:$B$401,"ai_overview",traffic_sources!$D$2:$D$401,"&gt;=45824",traffic_sources!$D$2:$D$401,"&lt;=45838")</f>
        <v>303</v>
      </c>
      <c r="D25" s="11">
        <f t="shared" si="3"/>
        <v>-0.48293515358361777</v>
      </c>
      <c r="E25" s="10">
        <f>SUMIFS(traffic_sources!$C$2:$C$401,traffic_sources!$A$2:$A$401,$A25,traffic_sources!$B$2:$B$401,"featured_snippet",traffic_sources!$D$2:$D$401,"&gt;=45809",traffic_sources!$D$2:$D$401,"&lt;=45823")</f>
        <v>458</v>
      </c>
      <c r="F25" s="10">
        <f>SUMIFS(traffic_sources!$C$2:$C$401,traffic_sources!$A$2:$A$401,$A25,traffic_sources!$B$2:$B$401,"featured_snippet",traffic_sources!$D$2:$D$401,"&gt;=45824",traffic_sources!$D$2:$D$401,"&lt;=45838")</f>
        <v>434</v>
      </c>
      <c r="G25" s="11">
        <f t="shared" si="4"/>
        <v>-5.2401746724890827E-2</v>
      </c>
      <c r="H25" s="10">
        <f>SUMIFS(traffic_sources!$C$2:$C$401,traffic_sources!$A$2:$A$401,$A25,traffic_sources!$B$2:$B$401,"people_also_ask",traffic_sources!$D$2:$D$401,"&gt;=45809",traffic_sources!$D$2:$D$401,"&lt;=45823")</f>
        <v>110</v>
      </c>
      <c r="I25" s="10">
        <f>SUMIFS(traffic_sources!$C$2:$C$401,traffic_sources!$A$2:$A$401,$A25,traffic_sources!$B$2:$B$401,"people_also_ask",traffic_sources!$D$2:$D$401,"&gt;=45824",traffic_sources!$D$2:$D$401,"&lt;=45838")</f>
        <v>350</v>
      </c>
      <c r="J25" s="11">
        <f t="shared" si="5"/>
        <v>2.1818181818181817</v>
      </c>
    </row>
    <row r="26" spans="1:10" x14ac:dyDescent="0.2">
      <c r="A26" s="31" t="s">
        <v>59</v>
      </c>
      <c r="B26" s="10">
        <f>SUMIFS(traffic_sources!$C$2:$C$401,traffic_sources!$A$2:$A$401,$A26,traffic_sources!$B$2:$B$401,"ai_overview",traffic_sources!$D$2:$D$401,"&gt;=45809",traffic_sources!$D$2:$D$401,"&lt;=45823")</f>
        <v>322</v>
      </c>
      <c r="C26" s="10">
        <f>SUMIFS(traffic_sources!$C$2:$C$401,traffic_sources!$A$2:$A$401,$A26,traffic_sources!$B$2:$B$401,"ai_overview",traffic_sources!$D$2:$D$401,"&gt;=45824",traffic_sources!$D$2:$D$401,"&lt;=45838")</f>
        <v>176</v>
      </c>
      <c r="D26" s="11">
        <f t="shared" si="3"/>
        <v>-0.453416149068323</v>
      </c>
      <c r="E26" s="10">
        <f>SUMIFS(traffic_sources!$C$2:$C$401,traffic_sources!$A$2:$A$401,$A26,traffic_sources!$B$2:$B$401,"featured_snippet",traffic_sources!$D$2:$D$401,"&gt;=45809",traffic_sources!$D$2:$D$401,"&lt;=45823")</f>
        <v>191</v>
      </c>
      <c r="F26" s="10">
        <f>SUMIFS(traffic_sources!$C$2:$C$401,traffic_sources!$A$2:$A$401,$A26,traffic_sources!$B$2:$B$401,"featured_snippet",traffic_sources!$D$2:$D$401,"&gt;=45824",traffic_sources!$D$2:$D$401,"&lt;=45838")</f>
        <v>416</v>
      </c>
      <c r="G26" s="11">
        <f t="shared" si="4"/>
        <v>1.1780104712041886</v>
      </c>
      <c r="H26" s="10">
        <f>SUMIFS(traffic_sources!$C$2:$C$401,traffic_sources!$A$2:$A$401,$A26,traffic_sources!$B$2:$B$401,"people_also_ask",traffic_sources!$D$2:$D$401,"&gt;=45809",traffic_sources!$D$2:$D$401,"&lt;=45823")</f>
        <v>751</v>
      </c>
      <c r="I26" s="10">
        <f>SUMIFS(traffic_sources!$C$2:$C$401,traffic_sources!$A$2:$A$401,$A26,traffic_sources!$B$2:$B$401,"people_also_ask",traffic_sources!$D$2:$D$401,"&gt;=45824",traffic_sources!$D$2:$D$401,"&lt;=45838")</f>
        <v>512</v>
      </c>
      <c r="J26" s="11">
        <f t="shared" si="5"/>
        <v>-0.31824234354194408</v>
      </c>
    </row>
    <row r="27" spans="1:10" x14ac:dyDescent="0.2">
      <c r="A27" s="31" t="s">
        <v>20</v>
      </c>
      <c r="B27" s="10">
        <f>SUMIFS(traffic_sources!$C$2:$C$401,traffic_sources!$A$2:$A$401,$A27,traffic_sources!$B$2:$B$401,"ai_overview",traffic_sources!$D$2:$D$401,"&gt;=45809",traffic_sources!$D$2:$D$401,"&lt;=45823")</f>
        <v>0</v>
      </c>
      <c r="C27" s="10">
        <f>SUMIFS(traffic_sources!$C$2:$C$401,traffic_sources!$A$2:$A$401,$A27,traffic_sources!$B$2:$B$401,"ai_overview",traffic_sources!$D$2:$D$401,"&gt;=45824",traffic_sources!$D$2:$D$401,"&lt;=45838")</f>
        <v>0</v>
      </c>
      <c r="D27" s="11">
        <f t="shared" si="3"/>
        <v>0</v>
      </c>
      <c r="E27" s="10">
        <f>SUMIFS(traffic_sources!$C$2:$C$401,traffic_sources!$A$2:$A$401,$A27,traffic_sources!$B$2:$B$401,"featured_snippet",traffic_sources!$D$2:$D$401,"&gt;=45809",traffic_sources!$D$2:$D$401,"&lt;=45823")</f>
        <v>571</v>
      </c>
      <c r="F27" s="10">
        <f>SUMIFS(traffic_sources!$C$2:$C$401,traffic_sources!$A$2:$A$401,$A27,traffic_sources!$B$2:$B$401,"featured_snippet",traffic_sources!$D$2:$D$401,"&gt;=45824",traffic_sources!$D$2:$D$401,"&lt;=45838")</f>
        <v>124</v>
      </c>
      <c r="G27" s="11">
        <f t="shared" si="4"/>
        <v>-0.78283712784588444</v>
      </c>
      <c r="H27" s="10">
        <f>SUMIFS(traffic_sources!$C$2:$C$401,traffic_sources!$A$2:$A$401,$A27,traffic_sources!$B$2:$B$401,"people_also_ask",traffic_sources!$D$2:$D$401,"&gt;=45809",traffic_sources!$D$2:$D$401,"&lt;=45823")</f>
        <v>0</v>
      </c>
      <c r="I27" s="10">
        <f>SUMIFS(traffic_sources!$C$2:$C$401,traffic_sources!$A$2:$A$401,$A27,traffic_sources!$B$2:$B$401,"people_also_ask",traffic_sources!$D$2:$D$401,"&gt;=45824",traffic_sources!$D$2:$D$401,"&lt;=45838")</f>
        <v>353</v>
      </c>
      <c r="J27" s="11">
        <f t="shared" si="5"/>
        <v>1</v>
      </c>
    </row>
    <row r="28" spans="1:10" x14ac:dyDescent="0.2">
      <c r="A28" s="31" t="s">
        <v>23</v>
      </c>
      <c r="B28" s="10">
        <f>SUMIFS(traffic_sources!$C$2:$C$401,traffic_sources!$A$2:$A$401,$A28,traffic_sources!$B$2:$B$401,"ai_overview",traffic_sources!$D$2:$D$401,"&gt;=45809",traffic_sources!$D$2:$D$401,"&lt;=45823")</f>
        <v>214</v>
      </c>
      <c r="C28" s="10">
        <f>SUMIFS(traffic_sources!$C$2:$C$401,traffic_sources!$A$2:$A$401,$A28,traffic_sources!$B$2:$B$401,"ai_overview",traffic_sources!$D$2:$D$401,"&gt;=45824",traffic_sources!$D$2:$D$401,"&lt;=45838")</f>
        <v>389</v>
      </c>
      <c r="D28" s="11">
        <f t="shared" si="3"/>
        <v>0.81775700934579443</v>
      </c>
      <c r="E28" s="10">
        <f>SUMIFS(traffic_sources!$C$2:$C$401,traffic_sources!$A$2:$A$401,$A28,traffic_sources!$B$2:$B$401,"featured_snippet",traffic_sources!$D$2:$D$401,"&gt;=45809",traffic_sources!$D$2:$D$401,"&lt;=45823")</f>
        <v>682</v>
      </c>
      <c r="F28" s="10">
        <f>SUMIFS(traffic_sources!$C$2:$C$401,traffic_sources!$A$2:$A$401,$A28,traffic_sources!$B$2:$B$401,"featured_snippet",traffic_sources!$D$2:$D$401,"&gt;=45824",traffic_sources!$D$2:$D$401,"&lt;=45838")</f>
        <v>441</v>
      </c>
      <c r="G28" s="11">
        <f t="shared" si="4"/>
        <v>-0.35337243401759533</v>
      </c>
      <c r="H28" s="10">
        <f>SUMIFS(traffic_sources!$C$2:$C$401,traffic_sources!$A$2:$A$401,$A28,traffic_sources!$B$2:$B$401,"people_also_ask",traffic_sources!$D$2:$D$401,"&gt;=45809",traffic_sources!$D$2:$D$401,"&lt;=45823")</f>
        <v>314</v>
      </c>
      <c r="I28" s="10">
        <f>SUMIFS(traffic_sources!$C$2:$C$401,traffic_sources!$A$2:$A$401,$A28,traffic_sources!$B$2:$B$401,"people_also_ask",traffic_sources!$D$2:$D$401,"&gt;=45824",traffic_sources!$D$2:$D$401,"&lt;=45838")</f>
        <v>91</v>
      </c>
      <c r="J28" s="11">
        <f t="shared" si="5"/>
        <v>-0.71019108280254772</v>
      </c>
    </row>
    <row r="29" spans="1:10" x14ac:dyDescent="0.2">
      <c r="A29" s="31" t="s">
        <v>17</v>
      </c>
      <c r="B29" s="10">
        <f>SUMIFS(traffic_sources!$C$2:$C$401,traffic_sources!$A$2:$A$401,$A29,traffic_sources!$B$2:$B$401,"ai_overview",traffic_sources!$D$2:$D$401,"&gt;=45809",traffic_sources!$D$2:$D$401,"&lt;=45823")</f>
        <v>325</v>
      </c>
      <c r="C29" s="10">
        <f>SUMIFS(traffic_sources!$C$2:$C$401,traffic_sources!$A$2:$A$401,$A29,traffic_sources!$B$2:$B$401,"ai_overview",traffic_sources!$D$2:$D$401,"&gt;=45824",traffic_sources!$D$2:$D$401,"&lt;=45838")</f>
        <v>379</v>
      </c>
      <c r="D29" s="11">
        <f t="shared" si="3"/>
        <v>0.16615384615384615</v>
      </c>
      <c r="E29" s="10">
        <f>SUMIFS(traffic_sources!$C$2:$C$401,traffic_sources!$A$2:$A$401,$A29,traffic_sources!$B$2:$B$401,"featured_snippet",traffic_sources!$D$2:$D$401,"&gt;=45809",traffic_sources!$D$2:$D$401,"&lt;=45823")</f>
        <v>524</v>
      </c>
      <c r="F29" s="10">
        <f>SUMIFS(traffic_sources!$C$2:$C$401,traffic_sources!$A$2:$A$401,$A29,traffic_sources!$B$2:$B$401,"featured_snippet",traffic_sources!$D$2:$D$401,"&gt;=45824",traffic_sources!$D$2:$D$401,"&lt;=45838")</f>
        <v>233</v>
      </c>
      <c r="G29" s="11">
        <f t="shared" si="4"/>
        <v>-0.55534351145038163</v>
      </c>
      <c r="H29" s="10">
        <f>SUMIFS(traffic_sources!$C$2:$C$401,traffic_sources!$A$2:$A$401,$A29,traffic_sources!$B$2:$B$401,"people_also_ask",traffic_sources!$D$2:$D$401,"&gt;=45809",traffic_sources!$D$2:$D$401,"&lt;=45823")</f>
        <v>508</v>
      </c>
      <c r="I29" s="10">
        <f>SUMIFS(traffic_sources!$C$2:$C$401,traffic_sources!$A$2:$A$401,$A29,traffic_sources!$B$2:$B$401,"people_also_ask",traffic_sources!$D$2:$D$401,"&gt;=45824",traffic_sources!$D$2:$D$401,"&lt;=45838")</f>
        <v>373</v>
      </c>
      <c r="J29" s="11">
        <f t="shared" si="5"/>
        <v>-0.26574803149606302</v>
      </c>
    </row>
    <row r="30" spans="1:10" x14ac:dyDescent="0.2">
      <c r="A30" s="31" t="s">
        <v>34</v>
      </c>
      <c r="B30" s="10">
        <f>SUMIFS(traffic_sources!$C$2:$C$401,traffic_sources!$A$2:$A$401,$A30,traffic_sources!$B$2:$B$401,"ai_overview",traffic_sources!$D$2:$D$401,"&gt;=45809",traffic_sources!$D$2:$D$401,"&lt;=45823")</f>
        <v>353</v>
      </c>
      <c r="C30" s="10">
        <f>SUMIFS(traffic_sources!$C$2:$C$401,traffic_sources!$A$2:$A$401,$A30,traffic_sources!$B$2:$B$401,"ai_overview",traffic_sources!$D$2:$D$401,"&gt;=45824",traffic_sources!$D$2:$D$401,"&lt;=45838")</f>
        <v>63</v>
      </c>
      <c r="D30" s="11">
        <f t="shared" si="3"/>
        <v>-0.82152974504249288</v>
      </c>
      <c r="E30" s="10">
        <f>SUMIFS(traffic_sources!$C$2:$C$401,traffic_sources!$A$2:$A$401,$A30,traffic_sources!$B$2:$B$401,"featured_snippet",traffic_sources!$D$2:$D$401,"&gt;=45809",traffic_sources!$D$2:$D$401,"&lt;=45823")</f>
        <v>363</v>
      </c>
      <c r="F30" s="10">
        <f>SUMIFS(traffic_sources!$C$2:$C$401,traffic_sources!$A$2:$A$401,$A30,traffic_sources!$B$2:$B$401,"featured_snippet",traffic_sources!$D$2:$D$401,"&gt;=45824",traffic_sources!$D$2:$D$401,"&lt;=45838")</f>
        <v>250</v>
      </c>
      <c r="G30" s="11">
        <f t="shared" si="4"/>
        <v>-0.31129476584022037</v>
      </c>
      <c r="H30" s="10">
        <f>SUMIFS(traffic_sources!$C$2:$C$401,traffic_sources!$A$2:$A$401,$A30,traffic_sources!$B$2:$B$401,"people_also_ask",traffic_sources!$D$2:$D$401,"&gt;=45809",traffic_sources!$D$2:$D$401,"&lt;=45823")</f>
        <v>345</v>
      </c>
      <c r="I30" s="10">
        <f>SUMIFS(traffic_sources!$C$2:$C$401,traffic_sources!$A$2:$A$401,$A30,traffic_sources!$B$2:$B$401,"people_also_ask",traffic_sources!$D$2:$D$401,"&gt;=45824",traffic_sources!$D$2:$D$401,"&lt;=45838")</f>
        <v>347</v>
      </c>
      <c r="J30" s="11">
        <f t="shared" si="5"/>
        <v>5.7971014492753624E-3</v>
      </c>
    </row>
    <row r="31" spans="1:10" x14ac:dyDescent="0.2">
      <c r="A31" s="4"/>
    </row>
    <row r="32" spans="1:10" x14ac:dyDescent="0.2">
      <c r="A32" s="44" t="s">
        <v>892</v>
      </c>
    </row>
    <row r="33" spans="1:15" x14ac:dyDescent="0.2">
      <c r="A33" s="45" t="s">
        <v>856</v>
      </c>
      <c r="B33" s="45" t="s">
        <v>889</v>
      </c>
      <c r="C33" s="45" t="s">
        <v>890</v>
      </c>
      <c r="L33" s="22"/>
      <c r="M33" s="22"/>
      <c r="N33" s="22"/>
      <c r="O33" s="22"/>
    </row>
    <row r="34" spans="1:15" x14ac:dyDescent="0.2">
      <c r="A34" s="2">
        <v>45809</v>
      </c>
      <c r="B34" s="6" cm="1">
        <f t="array" ref="B34">SUMPRODUCT(((traffic_sources!$B$2:$B$401="ai_overview")+(traffic_sources!$B$2:$B$401="featured_snippet")+(traffic_sources!$B$2:$B$401="people_also_ask"))*(traffic_sources!$D$2:$D$401=$A34)*traffic_sources!$C$2:$C$401)</f>
        <v>255</v>
      </c>
      <c r="C34" s="6">
        <f>B34</f>
        <v>255</v>
      </c>
      <c r="L34" s="23"/>
      <c r="M34" s="21"/>
      <c r="N34" s="21"/>
      <c r="O34" s="21"/>
    </row>
    <row r="35" spans="1:15" x14ac:dyDescent="0.2">
      <c r="A35" s="2">
        <v>45810</v>
      </c>
      <c r="B35" s="6" cm="1">
        <f t="array" ref="B35">SUMPRODUCT(((traffic_sources!$B$2:$B$401="ai_overview")+(traffic_sources!$B$2:$B$401="featured_snippet")+(traffic_sources!$B$2:$B$401="people_also_ask"))*(traffic_sources!$D$2:$D$401=$A35)*traffic_sources!$C$2:$C$401)</f>
        <v>275</v>
      </c>
      <c r="C35" s="6">
        <f>C34+B35</f>
        <v>530</v>
      </c>
      <c r="L35" s="23"/>
      <c r="M35" s="21"/>
      <c r="N35" s="21"/>
      <c r="O35" s="21"/>
    </row>
    <row r="36" spans="1:15" x14ac:dyDescent="0.2">
      <c r="A36" s="2">
        <v>45811</v>
      </c>
      <c r="B36" s="6" cm="1">
        <f t="array" ref="B36">SUMPRODUCT(((traffic_sources!$B$2:$B$401="ai_overview")+(traffic_sources!$B$2:$B$401="featured_snippet")+(traffic_sources!$B$2:$B$401="people_also_ask"))*(traffic_sources!$D$2:$D$401=$A36)*traffic_sources!$C$2:$C$401)</f>
        <v>902</v>
      </c>
      <c r="C36" s="6">
        <f t="shared" ref="C36:C63" si="6">C35+B36</f>
        <v>1432</v>
      </c>
      <c r="L36" s="23"/>
      <c r="M36" s="21"/>
      <c r="N36" s="21"/>
      <c r="O36" s="21"/>
    </row>
    <row r="37" spans="1:15" x14ac:dyDescent="0.2">
      <c r="A37" s="2">
        <v>45812</v>
      </c>
      <c r="B37" s="6" cm="1">
        <f t="array" ref="B37">SUMPRODUCT(((traffic_sources!$B$2:$B$401="ai_overview")+(traffic_sources!$B$2:$B$401="featured_snippet")+(traffic_sources!$B$2:$B$401="people_also_ask"))*(traffic_sources!$D$2:$D$401=$A37)*traffic_sources!$C$2:$C$401)</f>
        <v>735</v>
      </c>
      <c r="C37" s="6">
        <f t="shared" si="6"/>
        <v>2167</v>
      </c>
      <c r="L37" s="23"/>
      <c r="M37" s="21"/>
      <c r="N37" s="21"/>
      <c r="O37" s="21"/>
    </row>
    <row r="38" spans="1:15" x14ac:dyDescent="0.2">
      <c r="A38" s="2">
        <v>45813</v>
      </c>
      <c r="B38" s="6" cm="1">
        <f t="array" ref="B38">SUMPRODUCT(((traffic_sources!$B$2:$B$401="ai_overview")+(traffic_sources!$B$2:$B$401="featured_snippet")+(traffic_sources!$B$2:$B$401="people_also_ask"))*(traffic_sources!$D$2:$D$401=$A38)*traffic_sources!$C$2:$C$401)</f>
        <v>1004</v>
      </c>
      <c r="C38" s="6">
        <f t="shared" si="6"/>
        <v>3171</v>
      </c>
      <c r="L38" s="23"/>
      <c r="M38" s="21"/>
      <c r="N38" s="21"/>
      <c r="O38" s="21"/>
    </row>
    <row r="39" spans="1:15" x14ac:dyDescent="0.2">
      <c r="A39" s="2">
        <v>45814</v>
      </c>
      <c r="B39" s="6" cm="1">
        <f t="array" ref="B39">SUMPRODUCT(((traffic_sources!$B$2:$B$401="ai_overview")+(traffic_sources!$B$2:$B$401="featured_snippet")+(traffic_sources!$B$2:$B$401="people_also_ask"))*(traffic_sources!$D$2:$D$401=$A39)*traffic_sources!$C$2:$C$401)</f>
        <v>220</v>
      </c>
      <c r="C39" s="6">
        <f t="shared" si="6"/>
        <v>3391</v>
      </c>
      <c r="L39" s="23"/>
      <c r="M39" s="21"/>
      <c r="N39" s="21"/>
      <c r="O39" s="21"/>
    </row>
    <row r="40" spans="1:15" x14ac:dyDescent="0.2">
      <c r="A40" s="2">
        <v>45815</v>
      </c>
      <c r="B40" s="6" cm="1">
        <f t="array" ref="B40">SUMPRODUCT(((traffic_sources!$B$2:$B$401="ai_overview")+(traffic_sources!$B$2:$B$401="featured_snippet")+(traffic_sources!$B$2:$B$401="people_also_ask"))*(traffic_sources!$D$2:$D$401=$A40)*traffic_sources!$C$2:$C$401)</f>
        <v>320</v>
      </c>
      <c r="C40" s="6">
        <f t="shared" si="6"/>
        <v>3711</v>
      </c>
      <c r="L40" s="23"/>
      <c r="M40" s="21"/>
      <c r="N40" s="21"/>
      <c r="O40" s="21"/>
    </row>
    <row r="41" spans="1:15" x14ac:dyDescent="0.2">
      <c r="A41" s="2">
        <v>45816</v>
      </c>
      <c r="B41" s="6" cm="1">
        <f t="array" ref="B41">SUMPRODUCT(((traffic_sources!$B$2:$B$401="ai_overview")+(traffic_sources!$B$2:$B$401="featured_snippet")+(traffic_sources!$B$2:$B$401="people_also_ask"))*(traffic_sources!$D$2:$D$401=$A41)*traffic_sources!$C$2:$C$401)</f>
        <v>631</v>
      </c>
      <c r="C41" s="6">
        <f t="shared" si="6"/>
        <v>4342</v>
      </c>
      <c r="L41" s="23"/>
      <c r="M41" s="21"/>
      <c r="N41" s="21"/>
      <c r="O41" s="21"/>
    </row>
    <row r="42" spans="1:15" x14ac:dyDescent="0.2">
      <c r="A42" s="2">
        <v>45817</v>
      </c>
      <c r="B42" s="6" cm="1">
        <f t="array" ref="B42">SUMPRODUCT(((traffic_sources!$B$2:$B$401="ai_overview")+(traffic_sources!$B$2:$B$401="featured_snippet")+(traffic_sources!$B$2:$B$401="people_also_ask"))*(traffic_sources!$D$2:$D$401=$A42)*traffic_sources!$C$2:$C$401)</f>
        <v>236</v>
      </c>
      <c r="C42" s="6">
        <f t="shared" si="6"/>
        <v>4578</v>
      </c>
      <c r="L42" s="23"/>
      <c r="M42" s="21"/>
      <c r="N42" s="21"/>
      <c r="O42" s="21"/>
    </row>
    <row r="43" spans="1:15" x14ac:dyDescent="0.2">
      <c r="A43" s="2">
        <v>45818</v>
      </c>
      <c r="B43" s="6" cm="1">
        <f t="array" ref="B43">SUMPRODUCT(((traffic_sources!$B$2:$B$401="ai_overview")+(traffic_sources!$B$2:$B$401="featured_snippet")+(traffic_sources!$B$2:$B$401="people_also_ask"))*(traffic_sources!$D$2:$D$401=$A43)*traffic_sources!$C$2:$C$401)</f>
        <v>566</v>
      </c>
      <c r="C43" s="6">
        <f t="shared" si="6"/>
        <v>5144</v>
      </c>
    </row>
    <row r="44" spans="1:15" x14ac:dyDescent="0.2">
      <c r="A44" s="2">
        <v>45819</v>
      </c>
      <c r="B44" s="6" cm="1">
        <f t="array" ref="B44">SUMPRODUCT(((traffic_sources!$B$2:$B$401="ai_overview")+(traffic_sources!$B$2:$B$401="featured_snippet")+(traffic_sources!$B$2:$B$401="people_also_ask"))*(traffic_sources!$D$2:$D$401=$A44)*traffic_sources!$C$2:$C$401)</f>
        <v>577</v>
      </c>
      <c r="C44" s="6">
        <f t="shared" si="6"/>
        <v>5721</v>
      </c>
    </row>
    <row r="45" spans="1:15" x14ac:dyDescent="0.2">
      <c r="A45" s="2">
        <v>45820</v>
      </c>
      <c r="B45" s="6" cm="1">
        <f t="array" ref="B45">SUMPRODUCT(((traffic_sources!$B$2:$B$401="ai_overview")+(traffic_sources!$B$2:$B$401="featured_snippet")+(traffic_sources!$B$2:$B$401="people_also_ask"))*(traffic_sources!$D$2:$D$401=$A45)*traffic_sources!$C$2:$C$401)</f>
        <v>1167</v>
      </c>
      <c r="C45" s="6">
        <f t="shared" si="6"/>
        <v>6888</v>
      </c>
    </row>
    <row r="46" spans="1:15" x14ac:dyDescent="0.2">
      <c r="A46" s="2">
        <v>45821</v>
      </c>
      <c r="B46" s="6" cm="1">
        <f t="array" ref="B46">SUMPRODUCT(((traffic_sources!$B$2:$B$401="ai_overview")+(traffic_sources!$B$2:$B$401="featured_snippet")+(traffic_sources!$B$2:$B$401="people_also_ask"))*(traffic_sources!$D$2:$D$401=$A46)*traffic_sources!$C$2:$C$401)</f>
        <v>172</v>
      </c>
      <c r="C46" s="6">
        <f t="shared" si="6"/>
        <v>7060</v>
      </c>
    </row>
    <row r="47" spans="1:15" x14ac:dyDescent="0.2">
      <c r="A47" s="2">
        <v>45822</v>
      </c>
      <c r="B47" s="6" cm="1">
        <f t="array" ref="B47">SUMPRODUCT(((traffic_sources!$B$2:$B$401="ai_overview")+(traffic_sources!$B$2:$B$401="featured_snippet")+(traffic_sources!$B$2:$B$401="people_also_ask"))*(traffic_sources!$D$2:$D$401=$A47)*traffic_sources!$C$2:$C$401)</f>
        <v>639</v>
      </c>
      <c r="C47" s="6">
        <f t="shared" si="6"/>
        <v>7699</v>
      </c>
    </row>
    <row r="48" spans="1:15" x14ac:dyDescent="0.2">
      <c r="A48" s="2">
        <v>45823</v>
      </c>
      <c r="B48" s="6" cm="1">
        <f t="array" ref="B48">SUMPRODUCT(((traffic_sources!$B$2:$B$401="ai_overview")+(traffic_sources!$B$2:$B$401="featured_snippet")+(traffic_sources!$B$2:$B$401="people_also_ask"))*(traffic_sources!$D$2:$D$401=$A48)*traffic_sources!$C$2:$C$401)</f>
        <v>739</v>
      </c>
      <c r="C48" s="6">
        <f t="shared" si="6"/>
        <v>8438</v>
      </c>
    </row>
    <row r="49" spans="1:3" x14ac:dyDescent="0.2">
      <c r="A49" s="2">
        <v>45824</v>
      </c>
      <c r="B49" s="6" cm="1">
        <f t="array" ref="B49">SUMPRODUCT(((traffic_sources!$B$2:$B$401="ai_overview")+(traffic_sources!$B$2:$B$401="featured_snippet")+(traffic_sources!$B$2:$B$401="people_also_ask"))*(traffic_sources!$D$2:$D$401=$A49)*traffic_sources!$C$2:$C$401)</f>
        <v>1004</v>
      </c>
      <c r="C49" s="6">
        <f t="shared" si="6"/>
        <v>9442</v>
      </c>
    </row>
    <row r="50" spans="1:3" x14ac:dyDescent="0.2">
      <c r="A50" s="2">
        <v>45825</v>
      </c>
      <c r="B50" s="6" cm="1">
        <f t="array" ref="B50">SUMPRODUCT(((traffic_sources!$B$2:$B$401="ai_overview")+(traffic_sources!$B$2:$B$401="featured_snippet")+(traffic_sources!$B$2:$B$401="people_also_ask"))*(traffic_sources!$D$2:$D$401=$A50)*traffic_sources!$C$2:$C$401)</f>
        <v>1177</v>
      </c>
      <c r="C50" s="6">
        <f t="shared" si="6"/>
        <v>10619</v>
      </c>
    </row>
    <row r="51" spans="1:3" x14ac:dyDescent="0.2">
      <c r="A51" s="2">
        <v>45826</v>
      </c>
      <c r="B51" s="6" cm="1">
        <f t="array" ref="B51">SUMPRODUCT(((traffic_sources!$B$2:$B$401="ai_overview")+(traffic_sources!$B$2:$B$401="featured_snippet")+(traffic_sources!$B$2:$B$401="people_also_ask"))*(traffic_sources!$D$2:$D$401=$A51)*traffic_sources!$C$2:$C$401)</f>
        <v>721</v>
      </c>
      <c r="C51" s="6">
        <f t="shared" si="6"/>
        <v>11340</v>
      </c>
    </row>
    <row r="52" spans="1:3" x14ac:dyDescent="0.2">
      <c r="A52" s="2">
        <v>45827</v>
      </c>
      <c r="B52" s="6" cm="1">
        <f t="array" ref="B52">SUMPRODUCT(((traffic_sources!$B$2:$B$401="ai_overview")+(traffic_sources!$B$2:$B$401="featured_snippet")+(traffic_sources!$B$2:$B$401="people_also_ask"))*(traffic_sources!$D$2:$D$401=$A52)*traffic_sources!$C$2:$C$401)</f>
        <v>562</v>
      </c>
      <c r="C52" s="6">
        <f t="shared" si="6"/>
        <v>11902</v>
      </c>
    </row>
    <row r="53" spans="1:3" x14ac:dyDescent="0.2">
      <c r="A53" s="2">
        <v>45828</v>
      </c>
      <c r="B53" s="6" cm="1">
        <f t="array" ref="B53">SUMPRODUCT(((traffic_sources!$B$2:$B$401="ai_overview")+(traffic_sources!$B$2:$B$401="featured_snippet")+(traffic_sources!$B$2:$B$401="people_also_ask"))*(traffic_sources!$D$2:$D$401=$A53)*traffic_sources!$C$2:$C$401)</f>
        <v>502</v>
      </c>
      <c r="C53" s="6">
        <f t="shared" si="6"/>
        <v>12404</v>
      </c>
    </row>
    <row r="54" spans="1:3" x14ac:dyDescent="0.2">
      <c r="A54" s="2">
        <v>45829</v>
      </c>
      <c r="B54" s="6" cm="1">
        <f t="array" ref="B54">SUMPRODUCT(((traffic_sources!$B$2:$B$401="ai_overview")+(traffic_sources!$B$2:$B$401="featured_snippet")+(traffic_sources!$B$2:$B$401="people_also_ask"))*(traffic_sources!$D$2:$D$401=$A54)*traffic_sources!$C$2:$C$401)</f>
        <v>674</v>
      </c>
      <c r="C54" s="6">
        <f t="shared" si="6"/>
        <v>13078</v>
      </c>
    </row>
    <row r="55" spans="1:3" x14ac:dyDescent="0.2">
      <c r="A55" s="2">
        <v>45830</v>
      </c>
      <c r="B55" s="6" cm="1">
        <f t="array" ref="B55">SUMPRODUCT(((traffic_sources!$B$2:$B$401="ai_overview")+(traffic_sources!$B$2:$B$401="featured_snippet")+(traffic_sources!$B$2:$B$401="people_also_ask"))*(traffic_sources!$D$2:$D$401=$A55)*traffic_sources!$C$2:$C$401)</f>
        <v>354</v>
      </c>
      <c r="C55" s="6">
        <f t="shared" si="6"/>
        <v>13432</v>
      </c>
    </row>
    <row r="56" spans="1:3" x14ac:dyDescent="0.2">
      <c r="A56" s="2">
        <v>45831</v>
      </c>
      <c r="B56" s="6" cm="1">
        <f t="array" ref="B56">SUMPRODUCT(((traffic_sources!$B$2:$B$401="ai_overview")+(traffic_sources!$B$2:$B$401="featured_snippet")+(traffic_sources!$B$2:$B$401="people_also_ask"))*(traffic_sources!$D$2:$D$401=$A56)*traffic_sources!$C$2:$C$401)</f>
        <v>499</v>
      </c>
      <c r="C56" s="6">
        <f t="shared" si="6"/>
        <v>13931</v>
      </c>
    </row>
    <row r="57" spans="1:3" x14ac:dyDescent="0.2">
      <c r="A57" s="2">
        <v>45832</v>
      </c>
      <c r="B57" s="6" cm="1">
        <f t="array" ref="B57">SUMPRODUCT(((traffic_sources!$B$2:$B$401="ai_overview")+(traffic_sources!$B$2:$B$401="featured_snippet")+(traffic_sources!$B$2:$B$401="people_also_ask"))*(traffic_sources!$D$2:$D$401=$A57)*traffic_sources!$C$2:$C$401)</f>
        <v>400</v>
      </c>
      <c r="C57" s="6">
        <f t="shared" si="6"/>
        <v>14331</v>
      </c>
    </row>
    <row r="58" spans="1:3" x14ac:dyDescent="0.2">
      <c r="A58" s="2">
        <v>45833</v>
      </c>
      <c r="B58" s="6" cm="1">
        <f t="array" ref="B58">SUMPRODUCT(((traffic_sources!$B$2:$B$401="ai_overview")+(traffic_sources!$B$2:$B$401="featured_snippet")+(traffic_sources!$B$2:$B$401="people_also_ask"))*(traffic_sources!$D$2:$D$401=$A58)*traffic_sources!$C$2:$C$401)</f>
        <v>549</v>
      </c>
      <c r="C58" s="6">
        <f t="shared" si="6"/>
        <v>14880</v>
      </c>
    </row>
    <row r="59" spans="1:3" x14ac:dyDescent="0.2">
      <c r="A59" s="2">
        <v>45834</v>
      </c>
      <c r="B59" s="6" cm="1">
        <f t="array" ref="B59">SUMPRODUCT(((traffic_sources!$B$2:$B$401="ai_overview")+(traffic_sources!$B$2:$B$401="featured_snippet")+(traffic_sources!$B$2:$B$401="people_also_ask"))*(traffic_sources!$D$2:$D$401=$A59)*traffic_sources!$C$2:$C$401)</f>
        <v>496</v>
      </c>
      <c r="C59" s="6">
        <f t="shared" si="6"/>
        <v>15376</v>
      </c>
    </row>
    <row r="60" spans="1:3" x14ac:dyDescent="0.2">
      <c r="A60" s="2">
        <v>45835</v>
      </c>
      <c r="B60" s="6" cm="1">
        <f t="array" ref="B60">SUMPRODUCT(((traffic_sources!$B$2:$B$401="ai_overview")+(traffic_sources!$B$2:$B$401="featured_snippet")+(traffic_sources!$B$2:$B$401="people_also_ask"))*(traffic_sources!$D$2:$D$401=$A60)*traffic_sources!$C$2:$C$401)</f>
        <v>402</v>
      </c>
      <c r="C60" s="6">
        <f t="shared" si="6"/>
        <v>15778</v>
      </c>
    </row>
    <row r="61" spans="1:3" x14ac:dyDescent="0.2">
      <c r="A61" s="2">
        <v>45836</v>
      </c>
      <c r="B61" s="6" cm="1">
        <f t="array" ref="B61">SUMPRODUCT(((traffic_sources!$B$2:$B$401="ai_overview")+(traffic_sources!$B$2:$B$401="featured_snippet")+(traffic_sources!$B$2:$B$401="people_also_ask"))*(traffic_sources!$D$2:$D$401=$A61)*traffic_sources!$C$2:$C$401)</f>
        <v>668</v>
      </c>
      <c r="C61" s="6">
        <f t="shared" si="6"/>
        <v>16446</v>
      </c>
    </row>
    <row r="62" spans="1:3" x14ac:dyDescent="0.2">
      <c r="A62" s="2">
        <v>45837</v>
      </c>
      <c r="B62" s="6" cm="1">
        <f t="array" ref="B62">SUMPRODUCT(((traffic_sources!$B$2:$B$401="ai_overview")+(traffic_sources!$B$2:$B$401="featured_snippet")+(traffic_sources!$B$2:$B$401="people_also_ask"))*(traffic_sources!$D$2:$D$401=$A62)*traffic_sources!$C$2:$C$401)</f>
        <v>242</v>
      </c>
      <c r="C62" s="6">
        <f t="shared" si="6"/>
        <v>16688</v>
      </c>
    </row>
    <row r="63" spans="1:3" x14ac:dyDescent="0.2">
      <c r="A63" s="2">
        <v>45838</v>
      </c>
      <c r="B63" s="6" cm="1">
        <f t="array" ref="B63">SUMPRODUCT(((traffic_sources!$B$2:$B$401="ai_overview")+(traffic_sources!$B$2:$B$401="featured_snippet")+(traffic_sources!$B$2:$B$401="people_also_ask"))*(traffic_sources!$D$2:$D$401=$A63)*traffic_sources!$C$2:$C$401)</f>
        <v>734</v>
      </c>
      <c r="C63" s="6">
        <f t="shared" si="6"/>
        <v>17422</v>
      </c>
    </row>
  </sheetData>
  <mergeCells count="6">
    <mergeCell ref="A1:J1"/>
    <mergeCell ref="A19:J19"/>
    <mergeCell ref="A7:G7"/>
    <mergeCell ref="B20:D20"/>
    <mergeCell ref="E20:G20"/>
    <mergeCell ref="H20:J20"/>
  </mergeCells>
  <conditionalFormatting sqref="D22:D3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:E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:G3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2:J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3D50-3CC6-FD44-981D-4CCF7979346A}">
  <dimension ref="A1:J37"/>
  <sheetViews>
    <sheetView zoomScaleNormal="100" workbookViewId="0">
      <selection activeCell="B23" sqref="B23"/>
    </sheetView>
  </sheetViews>
  <sheetFormatPr baseColWidth="10" defaultRowHeight="16" x14ac:dyDescent="0.2"/>
  <cols>
    <col min="1" max="1" width="26.6640625" customWidth="1"/>
    <col min="2" max="2" width="21.1640625" customWidth="1"/>
    <col min="3" max="7" width="16.6640625" customWidth="1"/>
    <col min="9" max="9" width="15.83203125" customWidth="1"/>
    <col min="10" max="10" width="21.1640625" customWidth="1"/>
  </cols>
  <sheetData>
    <row r="1" spans="1:10" ht="24" x14ac:dyDescent="0.3">
      <c r="A1" s="54" t="s">
        <v>858</v>
      </c>
      <c r="B1" s="54"/>
      <c r="C1" s="54"/>
      <c r="D1" s="54"/>
      <c r="E1" s="54"/>
      <c r="F1" s="54"/>
      <c r="G1" s="54"/>
      <c r="H1" s="54"/>
      <c r="I1" s="54"/>
      <c r="J1" s="54"/>
    </row>
    <row r="3" spans="1:10" x14ac:dyDescent="0.2">
      <c r="A3" s="3" t="s">
        <v>846</v>
      </c>
    </row>
    <row r="5" spans="1:10" x14ac:dyDescent="0.2">
      <c r="A5" s="4" t="s">
        <v>847</v>
      </c>
      <c r="E5" s="4" t="s">
        <v>850</v>
      </c>
      <c r="I5" s="4" t="s">
        <v>855</v>
      </c>
    </row>
    <row r="6" spans="1:10" x14ac:dyDescent="0.2">
      <c r="A6" s="25" t="s">
        <v>827</v>
      </c>
      <c r="B6" s="26" t="s">
        <v>848</v>
      </c>
      <c r="C6" s="26" t="s">
        <v>849</v>
      </c>
      <c r="E6" s="25" t="s">
        <v>851</v>
      </c>
      <c r="F6" s="26" t="s">
        <v>852</v>
      </c>
      <c r="G6" s="26" t="s">
        <v>849</v>
      </c>
      <c r="I6" s="4" t="s">
        <v>856</v>
      </c>
      <c r="J6" s="9" t="s">
        <v>849</v>
      </c>
    </row>
    <row r="7" spans="1:10" x14ac:dyDescent="0.2">
      <c r="A7" s="31" t="s">
        <v>23</v>
      </c>
      <c r="B7" s="10" cm="1">
        <f t="array" ref="B7">SUMPRODUCT((order!$B$2:$B$301=$A7)*1)-SUMPRODUCT((order!$B$2:$B$301=$A7)*(((order!$B$2:$B$301="essayhubpro.net")+(order!$B$2:$B$301="paperwise.co")+(order!$B$2:$B$301="editgenius.net"))*(order!$C$2:$C$301="US")*(order!$G$2:$G$301="False")))</f>
        <v>35</v>
      </c>
      <c r="C7" s="41" cm="1">
        <f t="array" ref="C7">SUMPRODUCT((order!$B$2:$B$301=$A7)*order!$E$2:$E$301)-SUMPRODUCT((order!$B$2:$B$301=$A7)*(((order!$B$2:$B$301="essayhubpro.net")+(order!$B$2:$B$301="paperwise.co")+(order!$B$2:$B$301="editgenius.net"))*(order!$C$2:$C$301="US")*(order!$G$2:$G$301="False"))*order!$E$2:$E$301)</f>
        <v>2964.1600000000008</v>
      </c>
      <c r="E7" s="31" t="s">
        <v>18</v>
      </c>
      <c r="F7" s="10" cm="1">
        <f t="array" ref="F7">SUMPRODUCT((order!$C$2:$C$301=$E7)*1)-IF($E7="US",SUMPRODUCT((((order!$B$2:$B$301="essayhubpro.net")+(order!$B$2:$B$301="paperwise.co")+(order!$B$2:$B$301="editgenius.net"))*(order!$C$2:$C$301="US")*(order!$G$2:$G$301="False"))),0)</f>
        <v>50</v>
      </c>
      <c r="G7" s="41" cm="1">
        <f t="array" ref="G7">SUMPRODUCT((order!$C$2:$C$301=$E7)*order!$E$2:$E$301)-IF($E7="US",SUMPRODUCT((((order!$B$2:$B$301="essayhubpro.net")+(order!$B$2:$B$301="paperwise.co")+(order!$B$2:$B$301="editgenius.net"))*(order!$C$2:$C$301="US")*(order!$G$2:$G$301="False"))*order!$E$2:$E$301),0)</f>
        <v>3973.3199999999997</v>
      </c>
      <c r="I7" s="27">
        <v>45809</v>
      </c>
      <c r="J7" s="41" cm="1">
        <f t="array" ref="J7">SUMPRODUCT((order!$F$2:$F$301=I7)*order!$E$2:$E$301)-SUMPRODUCT((order!$F$2:$F$301=I7)*(((order!$B$2:$B$301="essayhubpro.net")+(order!$B$2:$B$301="paperwise.co")+(order!$B$2:$B$301="editgenius.net"))*(order!$C$2:$C$301="US")*(order!$G$2:$G$301="False"))*order!$E$2:$E$301)</f>
        <v>711.73</v>
      </c>
    </row>
    <row r="8" spans="1:10" x14ac:dyDescent="0.2">
      <c r="A8" s="31" t="s">
        <v>8</v>
      </c>
      <c r="B8" s="10" cm="1">
        <f t="array" ref="B8">SUMPRODUCT((order!$B$2:$B$301=$A8)*1)-SUMPRODUCT((order!$B$2:$B$301=$A8)*(((order!$B$2:$B$301="essayhubpro.net")+(order!$B$2:$B$301="paperwise.co")+(order!$B$2:$B$301="editgenius.net"))*(order!$C$2:$C$301="US")*(order!$G$2:$G$301="False")))</f>
        <v>40</v>
      </c>
      <c r="C8" s="41" cm="1">
        <f t="array" ref="C8">SUMPRODUCT((order!$B$2:$B$301=$A8)*order!$E$2:$E$301)-SUMPRODUCT((order!$B$2:$B$301=$A8)*(((order!$B$2:$B$301="essayhubpro.net")+(order!$B$2:$B$301="paperwise.co")+(order!$B$2:$B$301="editgenius.net"))*(order!$C$2:$C$301="US")*(order!$G$2:$G$301="False"))*order!$E$2:$E$301)</f>
        <v>3472.86</v>
      </c>
      <c r="E8" s="31" t="s">
        <v>13</v>
      </c>
      <c r="F8" s="10" cm="1">
        <f t="array" ref="F8">SUMPRODUCT((order!$C$2:$C$301=$E8)*1)-IF($E8="US",SUMPRODUCT((((order!$B$2:$B$301="essayhubpro.net")+(order!$B$2:$B$301="paperwise.co")+(order!$B$2:$B$301="editgenius.net"))*(order!$C$2:$C$301="US")*(order!$G$2:$G$301="False"))),0)</f>
        <v>59</v>
      </c>
      <c r="G8" s="41" cm="1">
        <f t="array" ref="G8">SUMPRODUCT((order!$C$2:$C$301=$E8)*order!$E$2:$E$301)-IF($E8="US",SUMPRODUCT((((order!$B$2:$B$301="essayhubpro.net")+(order!$B$2:$B$301="paperwise.co")+(order!$B$2:$B$301="editgenius.net"))*(order!$C$2:$C$301="US")*(order!$G$2:$G$301="False"))*order!$E$2:$E$301),0)</f>
        <v>4549.4799999999996</v>
      </c>
      <c r="I8" s="27">
        <v>45810</v>
      </c>
      <c r="J8" s="41" cm="1">
        <f t="array" ref="J8">SUMPRODUCT((order!$F$2:$F$301=I8)*order!$E$2:$E$301)-SUMPRODUCT((order!$F$2:$F$301=I8)*(((order!$B$2:$B$301="essayhubpro.net")+(order!$B$2:$B$301="paperwise.co")+(order!$B$2:$B$301="editgenius.net"))*(order!$C$2:$C$301="US")*(order!$G$2:$G$301="False"))*order!$E$2:$E$301)</f>
        <v>1015.53</v>
      </c>
    </row>
    <row r="9" spans="1:10" x14ac:dyDescent="0.2">
      <c r="A9" s="31" t="s">
        <v>25</v>
      </c>
      <c r="B9" s="10" cm="1">
        <f t="array" ref="B9">SUMPRODUCT((order!$B$2:$B$301=$A9)*1)-SUMPRODUCT((order!$B$2:$B$301=$A9)*(((order!$B$2:$B$301="essayhubpro.net")+(order!$B$2:$B$301="paperwise.co")+(order!$B$2:$B$301="editgenius.net"))*(order!$C$2:$C$301="US")*(order!$G$2:$G$301="False")))</f>
        <v>26</v>
      </c>
      <c r="C9" s="41" cm="1">
        <f t="array" ref="C9">SUMPRODUCT((order!$B$2:$B$301=$A9)*order!$E$2:$E$301)-SUMPRODUCT((order!$B$2:$B$301=$A9)*(((order!$B$2:$B$301="essayhubpro.net")+(order!$B$2:$B$301="paperwise.co")+(order!$B$2:$B$301="editgenius.net"))*(order!$C$2:$C$301="US")*(order!$G$2:$G$301="False"))*order!$E$2:$E$301)</f>
        <v>2178.73</v>
      </c>
      <c r="E9" s="31" t="s">
        <v>26</v>
      </c>
      <c r="F9" s="10" cm="1">
        <f t="array" ref="F9">SUMPRODUCT((order!$C$2:$C$301=$E9)*1)-IF($E9="US",SUMPRODUCT((((order!$B$2:$B$301="essayhubpro.net")+(order!$B$2:$B$301="paperwise.co")+(order!$B$2:$B$301="editgenius.net"))*(order!$C$2:$C$301="US")*(order!$G$2:$G$301="False"))),0)</f>
        <v>53</v>
      </c>
      <c r="G9" s="41" cm="1">
        <f t="array" ref="G9">SUMPRODUCT((order!$C$2:$C$301=$E9)*order!$E$2:$E$301)-IF($E9="US",SUMPRODUCT((((order!$B$2:$B$301="essayhubpro.net")+(order!$B$2:$B$301="paperwise.co")+(order!$B$2:$B$301="editgenius.net"))*(order!$C$2:$C$301="US")*(order!$G$2:$G$301="False"))*order!$E$2:$E$301),0)</f>
        <v>3872.7100000000009</v>
      </c>
      <c r="I9" s="27">
        <v>45811</v>
      </c>
      <c r="J9" s="41" cm="1">
        <f t="array" ref="J9">SUMPRODUCT((order!$F$2:$F$301=I9)*order!$E$2:$E$301)-SUMPRODUCT((order!$F$2:$F$301=I9)*(((order!$B$2:$B$301="essayhubpro.net")+(order!$B$2:$B$301="paperwise.co")+(order!$B$2:$B$301="editgenius.net"))*(order!$C$2:$C$301="US")*(order!$G$2:$G$301="False"))*order!$E$2:$E$301)</f>
        <v>992.74999999999989</v>
      </c>
    </row>
    <row r="10" spans="1:10" x14ac:dyDescent="0.2">
      <c r="A10" s="31" t="s">
        <v>17</v>
      </c>
      <c r="B10" s="10" cm="1">
        <f t="array" ref="B10">SUMPRODUCT((order!$B$2:$B$301=$A10)*1)-SUMPRODUCT((order!$B$2:$B$301=$A10)*(((order!$B$2:$B$301="essayhubpro.net")+(order!$B$2:$B$301="paperwise.co")+(order!$B$2:$B$301="editgenius.net"))*(order!$C$2:$C$301="US")*(order!$G$2:$G$301="False")))</f>
        <v>26</v>
      </c>
      <c r="C10" s="41" cm="1">
        <f t="array" ref="C10">SUMPRODUCT((order!$B$2:$B$301=$A10)*order!$E$2:$E$301)-SUMPRODUCT((order!$B$2:$B$301=$A10)*(((order!$B$2:$B$301="essayhubpro.net")+(order!$B$2:$B$301="paperwise.co")+(order!$B$2:$B$301="editgenius.net"))*(order!$C$2:$C$301="US")*(order!$G$2:$G$301="False"))*order!$E$2:$E$301)</f>
        <v>2097.5399999999995</v>
      </c>
      <c r="E10" s="31" t="s">
        <v>28</v>
      </c>
      <c r="F10" s="10" cm="1">
        <f t="array" ref="F10">SUMPRODUCT((order!$C$2:$C$301=$E10)*1)-IF($E10="US",SUMPRODUCT((((order!$B$2:$B$301="essayhubpro.net")+(order!$B$2:$B$301="paperwise.co")+(order!$B$2:$B$301="editgenius.net"))*(order!$C$2:$C$301="US")*(order!$G$2:$G$301="False"))),0)</f>
        <v>66</v>
      </c>
      <c r="G10" s="41" cm="1">
        <f t="array" ref="G10">SUMPRODUCT((order!$C$2:$C$301=$E10)*order!$E$2:$E$301)-IF($E10="US",SUMPRODUCT((((order!$B$2:$B$301="essayhubpro.net")+(order!$B$2:$B$301="paperwise.co")+(order!$B$2:$B$301="editgenius.net"))*(order!$C$2:$C$301="US")*(order!$G$2:$G$301="False"))*order!$E$2:$E$301),0)</f>
        <v>5664.94</v>
      </c>
      <c r="I10" s="27">
        <v>45812</v>
      </c>
      <c r="J10" s="41" cm="1">
        <f t="array" ref="J10">SUMPRODUCT((order!$F$2:$F$301=I10)*order!$E$2:$E$301)-SUMPRODUCT((order!$F$2:$F$301=I10)*(((order!$B$2:$B$301="essayhubpro.net")+(order!$B$2:$B$301="paperwise.co")+(order!$B$2:$B$301="editgenius.net"))*(order!$C$2:$C$301="US")*(order!$G$2:$G$301="False"))*order!$E$2:$E$301)</f>
        <v>762.09</v>
      </c>
    </row>
    <row r="11" spans="1:10" x14ac:dyDescent="0.2">
      <c r="A11" s="31" t="s">
        <v>20</v>
      </c>
      <c r="B11" s="10" cm="1">
        <f t="array" ref="B11">SUMPRODUCT((order!$B$2:$B$301=$A11)*1)-SUMPRODUCT((order!$B$2:$B$301=$A11)*(((order!$B$2:$B$301="essayhubpro.net")+(order!$B$2:$B$301="paperwise.co")+(order!$B$2:$B$301="editgenius.net"))*(order!$C$2:$C$301="US")*(order!$G$2:$G$301="False")))</f>
        <v>30</v>
      </c>
      <c r="C11" s="41" cm="1">
        <f t="array" ref="C11">SUMPRODUCT((order!$B$2:$B$301=$A11)*order!$E$2:$E$301)-SUMPRODUCT((order!$B$2:$B$301=$A11)*(((order!$B$2:$B$301="essayhubpro.net")+(order!$B$2:$B$301="paperwise.co")+(order!$B$2:$B$301="editgenius.net"))*(order!$C$2:$C$301="US")*(order!$G$2:$G$301="False"))*order!$E$2:$E$301)</f>
        <v>2335.7599999999993</v>
      </c>
      <c r="E11" s="31" t="s">
        <v>9</v>
      </c>
      <c r="F11" s="10" cm="1">
        <f t="array" ref="F11">SUMPRODUCT((order!$C$2:$C$301=$E11)*1)-IF($E11="US",SUMPRODUCT((((order!$B$2:$B$301="essayhubpro.net")+(order!$B$2:$B$301="paperwise.co")+(order!$B$2:$B$301="editgenius.net"))*(order!$C$2:$C$301="US")*(order!$G$2:$G$301="False"))),0)</f>
        <v>64</v>
      </c>
      <c r="G11" s="41" cm="1">
        <f t="array" ref="G11">SUMPRODUCT((order!$C$2:$C$301=$E11)*order!$E$2:$E$301)-IF($E11="US",SUMPRODUCT((((order!$B$2:$B$301="essayhubpro.net")+(order!$B$2:$B$301="paperwise.co")+(order!$B$2:$B$301="editgenius.net"))*(order!$C$2:$C$301="US")*(order!$G$2:$G$301="False"))*order!$E$2:$E$301),0)</f>
        <v>5247.0500000000011</v>
      </c>
      <c r="I11" s="27">
        <v>45813</v>
      </c>
      <c r="J11" s="41" cm="1">
        <f t="array" ref="J11">SUMPRODUCT((order!$F$2:$F$301=I11)*order!$E$2:$E$301)-SUMPRODUCT((order!$F$2:$F$301=I11)*(((order!$B$2:$B$301="essayhubpro.net")+(order!$B$2:$B$301="paperwise.co")+(order!$B$2:$B$301="editgenius.net"))*(order!$C$2:$C$301="US")*(order!$G$2:$G$301="False"))*order!$E$2:$E$301)</f>
        <v>895.97</v>
      </c>
    </row>
    <row r="12" spans="1:10" x14ac:dyDescent="0.2">
      <c r="A12" s="31" t="s">
        <v>31</v>
      </c>
      <c r="B12" s="10" cm="1">
        <f t="array" ref="B12">SUMPRODUCT((order!$B$2:$B$301=$A12)*1)-SUMPRODUCT((order!$B$2:$B$301=$A12)*(((order!$B$2:$B$301="essayhubpro.net")+(order!$B$2:$B$301="paperwise.co")+(order!$B$2:$B$301="editgenius.net"))*(order!$C$2:$C$301="US")*(order!$G$2:$G$301="False")))</f>
        <v>37</v>
      </c>
      <c r="C12" s="41" cm="1">
        <f t="array" ref="C12">SUMPRODUCT((order!$B$2:$B$301=$A12)*order!$E$2:$E$301)-SUMPRODUCT((order!$B$2:$B$301=$A12)*(((order!$B$2:$B$301="essayhubpro.net")+(order!$B$2:$B$301="paperwise.co")+(order!$B$2:$B$301="editgenius.net"))*(order!$C$2:$C$301="US")*(order!$G$2:$G$301="False"))*order!$E$2:$E$301)</f>
        <v>2717.08</v>
      </c>
      <c r="F12" s="6">
        <f>SUM(Table9[Кількість])</f>
        <v>292</v>
      </c>
      <c r="I12" s="27">
        <v>45814</v>
      </c>
      <c r="J12" s="41" cm="1">
        <f t="array" ref="J12">SUMPRODUCT((order!$F$2:$F$301=I12)*order!$E$2:$E$301)-SUMPRODUCT((order!$F$2:$F$301=I12)*(((order!$B$2:$B$301="essayhubpro.net")+(order!$B$2:$B$301="paperwise.co")+(order!$B$2:$B$301="editgenius.net"))*(order!$C$2:$C$301="US")*(order!$G$2:$G$301="False"))*order!$E$2:$E$301)</f>
        <v>883.08</v>
      </c>
    </row>
    <row r="13" spans="1:10" x14ac:dyDescent="0.2">
      <c r="A13" s="31" t="s">
        <v>59</v>
      </c>
      <c r="B13" s="10" cm="1">
        <f t="array" ref="B13">SUMPRODUCT((order!$B$2:$B$301=$A13)*1)-SUMPRODUCT((order!$B$2:$B$301=$A13)*(((order!$B$2:$B$301="essayhubpro.net")+(order!$B$2:$B$301="paperwise.co")+(order!$B$2:$B$301="editgenius.net"))*(order!$C$2:$C$301="US")*(order!$G$2:$G$301="False")))</f>
        <v>31</v>
      </c>
      <c r="C13" s="41" cm="1">
        <f t="array" ref="C13">SUMPRODUCT((order!$B$2:$B$301=$A13)*order!$E$2:$E$301)-SUMPRODUCT((order!$B$2:$B$301=$A13)*(((order!$B$2:$B$301="essayhubpro.net")+(order!$B$2:$B$301="paperwise.co")+(order!$B$2:$B$301="editgenius.net"))*(order!$C$2:$C$301="US")*(order!$G$2:$G$301="False"))*order!$E$2:$E$301)</f>
        <v>2512.4300000000003</v>
      </c>
      <c r="I13" s="27">
        <v>45815</v>
      </c>
      <c r="J13" s="41" cm="1">
        <f t="array" ref="J13">SUMPRODUCT((order!$F$2:$F$301=I13)*order!$E$2:$E$301)-SUMPRODUCT((order!$F$2:$F$301=I13)*(((order!$B$2:$B$301="essayhubpro.net")+(order!$B$2:$B$301="paperwise.co")+(order!$B$2:$B$301="editgenius.net"))*(order!$C$2:$C$301="US")*(order!$G$2:$G$301="False"))*order!$E$2:$E$301)</f>
        <v>554.94000000000005</v>
      </c>
    </row>
    <row r="14" spans="1:10" x14ac:dyDescent="0.2">
      <c r="A14" s="31" t="s">
        <v>37</v>
      </c>
      <c r="B14" s="10" cm="1">
        <f t="array" ref="B14">SUMPRODUCT((order!$B$2:$B$301=$A14)*1)-SUMPRODUCT((order!$B$2:$B$301=$A14)*(((order!$B$2:$B$301="essayhubpro.net")+(order!$B$2:$B$301="paperwise.co")+(order!$B$2:$B$301="editgenius.net"))*(order!$C$2:$C$301="US")*(order!$G$2:$G$301="False")))</f>
        <v>36</v>
      </c>
      <c r="C14" s="41" cm="1">
        <f t="array" ref="C14">SUMPRODUCT((order!$B$2:$B$301=$A14)*order!$E$2:$E$301)-SUMPRODUCT((order!$B$2:$B$301=$A14)*(((order!$B$2:$B$301="essayhubpro.net")+(order!$B$2:$B$301="paperwise.co")+(order!$B$2:$B$301="editgenius.net"))*(order!$C$2:$C$301="US")*(order!$G$2:$G$301="False"))*order!$E$2:$E$301)</f>
        <v>2684.5999999999995</v>
      </c>
      <c r="I14" s="27">
        <v>45816</v>
      </c>
      <c r="J14" s="41" cm="1">
        <f t="array" ref="J14">SUMPRODUCT((order!$F$2:$F$301=I14)*order!$E$2:$E$301)-SUMPRODUCT((order!$F$2:$F$301=I14)*(((order!$B$2:$B$301="essayhubpro.net")+(order!$B$2:$B$301="paperwise.co")+(order!$B$2:$B$301="editgenius.net"))*(order!$C$2:$C$301="US")*(order!$G$2:$G$301="False"))*order!$E$2:$E$301)</f>
        <v>776.46999999999991</v>
      </c>
    </row>
    <row r="15" spans="1:10" x14ac:dyDescent="0.2">
      <c r="A15" s="31" t="s">
        <v>34</v>
      </c>
      <c r="B15" s="10" cm="1">
        <f t="array" ref="B15">SUMPRODUCT((order!$B$2:$B$301=$A15)*1)-SUMPRODUCT((order!$B$2:$B$301=$A15)*(((order!$B$2:$B$301="essayhubpro.net")+(order!$B$2:$B$301="paperwise.co")+(order!$B$2:$B$301="editgenius.net"))*(order!$C$2:$C$301="US")*(order!$G$2:$G$301="False")))</f>
        <v>31</v>
      </c>
      <c r="C15" s="41" cm="1">
        <f t="array" ref="C15">SUMPRODUCT((order!$B$2:$B$301=$A15)*order!$E$2:$E$301)-SUMPRODUCT((order!$B$2:$B$301=$A15)*(((order!$B$2:$B$301="essayhubpro.net")+(order!$B$2:$B$301="paperwise.co")+(order!$B$2:$B$301="editgenius.net"))*(order!$C$2:$C$301="US")*(order!$G$2:$G$301="False"))*order!$E$2:$E$301)</f>
        <v>2344.3399999999997</v>
      </c>
      <c r="I15" s="27">
        <v>45817</v>
      </c>
      <c r="J15" s="41" cm="1">
        <f t="array" ref="J15">SUMPRODUCT((order!$F$2:$F$301=I15)*order!$E$2:$E$301)-SUMPRODUCT((order!$F$2:$F$301=I15)*(((order!$B$2:$B$301="essayhubpro.net")+(order!$B$2:$B$301="paperwise.co")+(order!$B$2:$B$301="editgenius.net"))*(order!$C$2:$C$301="US")*(order!$G$2:$G$301="False"))*order!$E$2:$E$301)</f>
        <v>1000.7300000000001</v>
      </c>
    </row>
    <row r="16" spans="1:10" x14ac:dyDescent="0.2">
      <c r="I16" s="27">
        <v>45818</v>
      </c>
      <c r="J16" s="41" cm="1">
        <f t="array" ref="J16">SUMPRODUCT((order!$F$2:$F$301=I16)*order!$E$2:$E$301)-SUMPRODUCT((order!$F$2:$F$301=I16)*(((order!$B$2:$B$301="essayhubpro.net")+(order!$B$2:$B$301="paperwise.co")+(order!$B$2:$B$301="editgenius.net"))*(order!$C$2:$C$301="US")*(order!$G$2:$G$301="False"))*order!$E$2:$E$301)</f>
        <v>764.28</v>
      </c>
    </row>
    <row r="17" spans="1:10" x14ac:dyDescent="0.2">
      <c r="I17" s="27">
        <v>45819</v>
      </c>
      <c r="J17" s="41" cm="1">
        <f t="array" ref="J17">SUMPRODUCT((order!$F$2:$F$301=I17)*order!$E$2:$E$301)-SUMPRODUCT((order!$F$2:$F$301=I17)*(((order!$B$2:$B$301="essayhubpro.net")+(order!$B$2:$B$301="paperwise.co")+(order!$B$2:$B$301="editgenius.net"))*(order!$C$2:$C$301="US")*(order!$G$2:$G$301="False"))*order!$E$2:$E$301)</f>
        <v>966.2</v>
      </c>
    </row>
    <row r="18" spans="1:10" x14ac:dyDescent="0.2">
      <c r="A18" s="4" t="s">
        <v>853</v>
      </c>
      <c r="I18" s="27">
        <v>45820</v>
      </c>
      <c r="J18" s="41" cm="1">
        <f t="array" ref="J18">SUMPRODUCT((order!$F$2:$F$301=I18)*order!$E$2:$E$301)-SUMPRODUCT((order!$F$2:$F$301=I18)*(((order!$B$2:$B$301="essayhubpro.net")+(order!$B$2:$B$301="paperwise.co")+(order!$B$2:$B$301="editgenius.net"))*(order!$C$2:$C$301="US")*(order!$G$2:$G$301="False"))*order!$E$2:$E$301)</f>
        <v>874.8599999999999</v>
      </c>
    </row>
    <row r="19" spans="1:10" x14ac:dyDescent="0.2">
      <c r="A19" s="4" t="s">
        <v>827</v>
      </c>
      <c r="B19" s="9" t="s">
        <v>18</v>
      </c>
      <c r="C19" s="9" t="s">
        <v>13</v>
      </c>
      <c r="D19" s="9" t="s">
        <v>26</v>
      </c>
      <c r="E19" s="9" t="s">
        <v>28</v>
      </c>
      <c r="F19" s="9" t="s">
        <v>9</v>
      </c>
      <c r="G19" s="9" t="s">
        <v>854</v>
      </c>
      <c r="I19" s="27">
        <v>45821</v>
      </c>
      <c r="J19" s="41" cm="1">
        <f t="array" ref="J19">SUMPRODUCT((order!$F$2:$F$301=I19)*order!$E$2:$E$301)-SUMPRODUCT((order!$F$2:$F$301=I19)*(((order!$B$2:$B$301="essayhubpro.net")+(order!$B$2:$B$301="paperwise.co")+(order!$B$2:$B$301="editgenius.net"))*(order!$C$2:$C$301="US")*(order!$G$2:$G$301="False"))*order!$E$2:$E$301)</f>
        <v>619.54999999999995</v>
      </c>
    </row>
    <row r="20" spans="1:10" x14ac:dyDescent="0.2">
      <c r="A20" s="31" t="s">
        <v>23</v>
      </c>
      <c r="B20" s="43" cm="1">
        <f t="array" ref="B20">SUMPRODUCT((order!$B$2:$B$301=$A20)*(order!$C$2:$C$301=B$19)*order!$E$2:$E$301)-IF(AND(B$19="US",OR($A20="essayhubpro.net",$A20="paperwise.co",$A20="editgenius.net")),SUMPRODUCT((order!$B$2:$B$301=$A20)*(order!$C$2:$C$301="US")*(order!$G$2:$G$301="False")*order!$E$2:$E$301),0)</f>
        <v>430.65000000000009</v>
      </c>
      <c r="C20" s="43" cm="1">
        <f t="array" ref="C20">SUMPRODUCT((order!$B$2:$B$301=$A20)*(order!$C$2:$C$301=C$19)*order!$E$2:$E$301)-IF(AND(C$19="US",OR($A20="essayhubpro.net",$A20="paperwise.co",$A20="editgenius.net")),SUMPRODUCT((order!$B$2:$B$301=$A20)*(order!$C$2:$C$301="US")*(order!$G$2:$G$301="False")*order!$E$2:$E$301),0)</f>
        <v>461.40999999999997</v>
      </c>
      <c r="D20" s="43" cm="1">
        <f t="array" ref="D20">SUMPRODUCT((order!$B$2:$B$301=$A20)*(order!$C$2:$C$301=D$19)*order!$E$2:$E$301)-IF(AND(D$19="US",OR($A20="essayhubpro.net",$A20="paperwise.co",$A20="editgenius.net")),SUMPRODUCT((order!$B$2:$B$301=$A20)*(order!$C$2:$C$301="US")*(order!$G$2:$G$301="False")*order!$E$2:$E$301),0)</f>
        <v>492.13</v>
      </c>
      <c r="E20" s="43" cm="1">
        <f t="array" ref="E20">SUMPRODUCT((order!$B$2:$B$301=$A20)*(order!$C$2:$C$301=E$19)*order!$E$2:$E$301)-IF(AND(E$19="US",OR($A20="essayhubpro.net",$A20="paperwise.co",$A20="editgenius.net")),SUMPRODUCT((order!$B$2:$B$301=$A20)*(order!$C$2:$C$301="US")*(order!$G$2:$G$301="False")*order!$E$2:$E$301),0)</f>
        <v>774.64</v>
      </c>
      <c r="F20" s="43" cm="1">
        <f t="array" ref="F20">SUMPRODUCT((order!$B$2:$B$301=$A20)*(order!$C$2:$C$301=F$19)*order!$E$2:$E$301)-IF(AND(F$19="US",OR($A20="essayhubpro.net",$A20="paperwise.co",$A20="editgenius.net")),SUMPRODUCT((order!$B$2:$B$301=$A20)*(order!$C$2:$C$301="US")*(order!$G$2:$G$301="False")*order!$E$2:$E$301),0)</f>
        <v>805.33</v>
      </c>
      <c r="G20" s="42">
        <f>SUM(B20:F20)</f>
        <v>2964.16</v>
      </c>
      <c r="I20" s="27">
        <v>45822</v>
      </c>
      <c r="J20" s="41" cm="1">
        <f t="array" ref="J20">SUMPRODUCT((order!$F$2:$F$301=I20)*order!$E$2:$E$301)-SUMPRODUCT((order!$F$2:$F$301=I20)*(((order!$B$2:$B$301="essayhubpro.net")+(order!$B$2:$B$301="paperwise.co")+(order!$B$2:$B$301="editgenius.net"))*(order!$C$2:$C$301="US")*(order!$G$2:$G$301="False"))*order!$E$2:$E$301)</f>
        <v>569.69999999999993</v>
      </c>
    </row>
    <row r="21" spans="1:10" x14ac:dyDescent="0.2">
      <c r="A21" s="31" t="s">
        <v>8</v>
      </c>
      <c r="B21" s="43" cm="1">
        <f t="array" ref="B21">SUMPRODUCT((order!$B$2:$B$301=$A21)*(order!$C$2:$C$301=B$19)*order!$E$2:$E$301)-IF(AND(B$19="US",OR($A21="essayhubpro.net",$A21="paperwise.co",$A21="editgenius.net")),SUMPRODUCT((order!$B$2:$B$301=$A21)*(order!$C$2:$C$301="US")*(order!$G$2:$G$301="False")*order!$E$2:$E$301),0)</f>
        <v>673.37</v>
      </c>
      <c r="C21" s="43" cm="1">
        <f t="array" ref="C21">SUMPRODUCT((order!$B$2:$B$301=$A21)*(order!$C$2:$C$301=C$19)*order!$E$2:$E$301)-IF(AND(C$19="US",OR($A21="essayhubpro.net",$A21="paperwise.co",$A21="editgenius.net")),SUMPRODUCT((order!$B$2:$B$301=$A21)*(order!$C$2:$C$301="US")*(order!$G$2:$G$301="False")*order!$E$2:$E$301),0)</f>
        <v>503.07000000000005</v>
      </c>
      <c r="D21" s="43" cm="1">
        <f t="array" ref="D21">SUMPRODUCT((order!$B$2:$B$301=$A21)*(order!$C$2:$C$301=D$19)*order!$E$2:$E$301)-IF(AND(D$19="US",OR($A21="essayhubpro.net",$A21="paperwise.co",$A21="editgenius.net")),SUMPRODUCT((order!$B$2:$B$301=$A21)*(order!$C$2:$C$301="US")*(order!$G$2:$G$301="False")*order!$E$2:$E$301),0)</f>
        <v>519.55999999999995</v>
      </c>
      <c r="E21" s="43" cm="1">
        <f t="array" ref="E21">SUMPRODUCT((order!$B$2:$B$301=$A21)*(order!$C$2:$C$301=E$19)*order!$E$2:$E$301)-IF(AND(E$19="US",OR($A21="essayhubpro.net",$A21="paperwise.co",$A21="editgenius.net")),SUMPRODUCT((order!$B$2:$B$301=$A21)*(order!$C$2:$C$301="US")*(order!$G$2:$G$301="False")*order!$E$2:$E$301),0)</f>
        <v>881.05000000000018</v>
      </c>
      <c r="F21" s="43" cm="1">
        <f t="array" ref="F21">SUMPRODUCT((order!$B$2:$B$301=$A21)*(order!$C$2:$C$301=F$19)*order!$E$2:$E$301)-IF(AND(F$19="US",OR($A21="essayhubpro.net",$A21="paperwise.co",$A21="editgenius.net")),SUMPRODUCT((order!$B$2:$B$301=$A21)*(order!$C$2:$C$301="US")*(order!$G$2:$G$301="False")*order!$E$2:$E$301),0)</f>
        <v>895.80999999999983</v>
      </c>
      <c r="G21" s="42">
        <f t="shared" ref="G21:G28" si="0">SUM(B21:F21)</f>
        <v>3472.86</v>
      </c>
      <c r="I21" s="27">
        <v>45823</v>
      </c>
      <c r="J21" s="41" cm="1">
        <f t="array" ref="J21">SUMPRODUCT((order!$F$2:$F$301=I21)*order!$E$2:$E$301)-SUMPRODUCT((order!$F$2:$F$301=I21)*(((order!$B$2:$B$301="essayhubpro.net")+(order!$B$2:$B$301="paperwise.co")+(order!$B$2:$B$301="editgenius.net"))*(order!$C$2:$C$301="US")*(order!$G$2:$G$301="False"))*order!$E$2:$E$301)</f>
        <v>687.2800000000002</v>
      </c>
    </row>
    <row r="22" spans="1:10" x14ac:dyDescent="0.2">
      <c r="A22" s="31" t="s">
        <v>25</v>
      </c>
      <c r="B22" s="43" cm="1">
        <f t="array" ref="B22">SUMPRODUCT((order!$B$2:$B$301=$A22)*(order!$C$2:$C$301=B$19)*order!$E$2:$E$301)-IF(AND(B$19="US",OR($A22="essayhubpro.net",$A22="paperwise.co",$A22="editgenius.net")),SUMPRODUCT((order!$B$2:$B$301=$A22)*(order!$C$2:$C$301="US")*(order!$G$2:$G$301="False")*order!$E$2:$E$301),0)</f>
        <v>468.97</v>
      </c>
      <c r="C22" s="43" cm="1">
        <f t="array" ref="C22">SUMPRODUCT((order!$B$2:$B$301=$A22)*(order!$C$2:$C$301=C$19)*order!$E$2:$E$301)-IF(AND(C$19="US",OR($A22="essayhubpro.net",$A22="paperwise.co",$A22="editgenius.net")),SUMPRODUCT((order!$B$2:$B$301=$A22)*(order!$C$2:$C$301="US")*(order!$G$2:$G$301="False")*order!$E$2:$E$301),0)</f>
        <v>216.07999999999998</v>
      </c>
      <c r="D22" s="43" cm="1">
        <f t="array" ref="D22">SUMPRODUCT((order!$B$2:$B$301=$A22)*(order!$C$2:$C$301=D$19)*order!$E$2:$E$301)-IF(AND(D$19="US",OR($A22="essayhubpro.net",$A22="paperwise.co",$A22="editgenius.net")),SUMPRODUCT((order!$B$2:$B$301=$A22)*(order!$C$2:$C$301="US")*(order!$G$2:$G$301="False")*order!$E$2:$E$301),0)</f>
        <v>519.91</v>
      </c>
      <c r="E22" s="43" cm="1">
        <f t="array" ref="E22">SUMPRODUCT((order!$B$2:$B$301=$A22)*(order!$C$2:$C$301=E$19)*order!$E$2:$E$301)-IF(AND(E$19="US",OR($A22="essayhubpro.net",$A22="paperwise.co",$A22="editgenius.net")),SUMPRODUCT((order!$B$2:$B$301=$A22)*(order!$C$2:$C$301="US")*(order!$G$2:$G$301="False")*order!$E$2:$E$301),0)</f>
        <v>600.98</v>
      </c>
      <c r="F22" s="43" cm="1">
        <f t="array" ref="F22">SUMPRODUCT((order!$B$2:$B$301=$A22)*(order!$C$2:$C$301=F$19)*order!$E$2:$E$301)-IF(AND(F$19="US",OR($A22="essayhubpro.net",$A22="paperwise.co",$A22="editgenius.net")),SUMPRODUCT((order!$B$2:$B$301=$A22)*(order!$C$2:$C$301="US")*(order!$G$2:$G$301="False")*order!$E$2:$E$301),0)</f>
        <v>372.78999999999996</v>
      </c>
      <c r="G22" s="42">
        <f t="shared" si="0"/>
        <v>2178.73</v>
      </c>
      <c r="I22" s="27">
        <v>45824</v>
      </c>
      <c r="J22" s="41" cm="1">
        <f t="array" ref="J22">SUMPRODUCT((order!$F$2:$F$301=I22)*order!$E$2:$E$301)-SUMPRODUCT((order!$F$2:$F$301=I22)*(((order!$B$2:$B$301="essayhubpro.net")+(order!$B$2:$B$301="paperwise.co")+(order!$B$2:$B$301="editgenius.net"))*(order!$C$2:$C$301="US")*(order!$G$2:$G$301="False"))*order!$E$2:$E$301)</f>
        <v>786.23</v>
      </c>
    </row>
    <row r="23" spans="1:10" x14ac:dyDescent="0.2">
      <c r="A23" s="31" t="s">
        <v>17</v>
      </c>
      <c r="B23" s="43" cm="1">
        <f t="array" ref="B23">SUMPRODUCT((order!$B$2:$B$301=$A23)*(order!$C$2:$C$301=B$19)*order!$E$2:$E$301)-IF(AND(B$19="US",OR($A23="essayhubpro.net",$A23="paperwise.co",$A23="editgenius.net")),SUMPRODUCT((order!$B$2:$B$301=$A23)*(order!$C$2:$C$301="US")*(order!$G$2:$G$301="False")*order!$E$2:$E$301),0)</f>
        <v>166.56000000000003</v>
      </c>
      <c r="C23" s="43" cm="1">
        <f t="array" ref="C23">SUMPRODUCT((order!$B$2:$B$301=$A23)*(order!$C$2:$C$301=C$19)*order!$E$2:$E$301)-IF(AND(C$19="US",OR($A23="essayhubpro.net",$A23="paperwise.co",$A23="editgenius.net")),SUMPRODUCT((order!$B$2:$B$301=$A23)*(order!$C$2:$C$301="US")*(order!$G$2:$G$301="False")*order!$E$2:$E$301),0)</f>
        <v>555.30000000000007</v>
      </c>
      <c r="D23" s="43" cm="1">
        <f t="array" ref="D23">SUMPRODUCT((order!$B$2:$B$301=$A23)*(order!$C$2:$C$301=D$19)*order!$E$2:$E$301)-IF(AND(D$19="US",OR($A23="essayhubpro.net",$A23="paperwise.co",$A23="editgenius.net")),SUMPRODUCT((order!$B$2:$B$301=$A23)*(order!$C$2:$C$301="US")*(order!$G$2:$G$301="False")*order!$E$2:$E$301),0)</f>
        <v>175.29000000000002</v>
      </c>
      <c r="E23" s="43" cm="1">
        <f t="array" ref="E23">SUMPRODUCT((order!$B$2:$B$301=$A23)*(order!$C$2:$C$301=E$19)*order!$E$2:$E$301)-IF(AND(E$19="US",OR($A23="essayhubpro.net",$A23="paperwise.co",$A23="editgenius.net")),SUMPRODUCT((order!$B$2:$B$301=$A23)*(order!$C$2:$C$301="US")*(order!$G$2:$G$301="False")*order!$E$2:$E$301),0)</f>
        <v>428.55</v>
      </c>
      <c r="F23" s="43" cm="1">
        <f t="array" ref="F23">SUMPRODUCT((order!$B$2:$B$301=$A23)*(order!$C$2:$C$301=F$19)*order!$E$2:$E$301)-IF(AND(F$19="US",OR($A23="essayhubpro.net",$A23="paperwise.co",$A23="editgenius.net")),SUMPRODUCT((order!$B$2:$B$301=$A23)*(order!$C$2:$C$301="US")*(order!$G$2:$G$301="False")*order!$E$2:$E$301),0)</f>
        <v>771.84</v>
      </c>
      <c r="G23" s="42">
        <f t="shared" si="0"/>
        <v>2097.54</v>
      </c>
      <c r="I23" s="27">
        <v>45825</v>
      </c>
      <c r="J23" s="41" cm="1">
        <f t="array" ref="J23">SUMPRODUCT((order!$F$2:$F$301=I23)*order!$E$2:$E$301)-SUMPRODUCT((order!$F$2:$F$301=I23)*(((order!$B$2:$B$301="essayhubpro.net")+(order!$B$2:$B$301="paperwise.co")+(order!$B$2:$B$301="editgenius.net"))*(order!$C$2:$C$301="US")*(order!$G$2:$G$301="False"))*order!$E$2:$E$301)</f>
        <v>409.27000000000004</v>
      </c>
    </row>
    <row r="24" spans="1:10" x14ac:dyDescent="0.2">
      <c r="A24" s="31" t="s">
        <v>20</v>
      </c>
      <c r="B24" s="43" cm="1">
        <f t="array" ref="B24">SUMPRODUCT((order!$B$2:$B$301=$A24)*(order!$C$2:$C$301=B$19)*order!$E$2:$E$301)-IF(AND(B$19="US",OR($A24="essayhubpro.net",$A24="paperwise.co",$A24="editgenius.net")),SUMPRODUCT((order!$B$2:$B$301=$A24)*(order!$C$2:$C$301="US")*(order!$G$2:$G$301="False")*order!$E$2:$E$301),0)</f>
        <v>146.21999999999997</v>
      </c>
      <c r="C24" s="43" cm="1">
        <f t="array" ref="C24">SUMPRODUCT((order!$B$2:$B$301=$A24)*(order!$C$2:$C$301=C$19)*order!$E$2:$E$301)-IF(AND(C$19="US",OR($A24="essayhubpro.net",$A24="paperwise.co",$A24="editgenius.net")),SUMPRODUCT((order!$B$2:$B$301=$A24)*(order!$C$2:$C$301="US")*(order!$G$2:$G$301="False")*order!$E$2:$E$301),0)</f>
        <v>663.98</v>
      </c>
      <c r="D24" s="43" cm="1">
        <f t="array" ref="D24">SUMPRODUCT((order!$B$2:$B$301=$A24)*(order!$C$2:$C$301=D$19)*order!$E$2:$E$301)-IF(AND(D$19="US",OR($A24="essayhubpro.net",$A24="paperwise.co",$A24="editgenius.net")),SUMPRODUCT((order!$B$2:$B$301=$A24)*(order!$C$2:$C$301="US")*(order!$G$2:$G$301="False")*order!$E$2:$E$301),0)</f>
        <v>197.41</v>
      </c>
      <c r="E24" s="43" cm="1">
        <f t="array" ref="E24">SUMPRODUCT((order!$B$2:$B$301=$A24)*(order!$C$2:$C$301=E$19)*order!$E$2:$E$301)-IF(AND(E$19="US",OR($A24="essayhubpro.net",$A24="paperwise.co",$A24="editgenius.net")),SUMPRODUCT((order!$B$2:$B$301=$A24)*(order!$C$2:$C$301="US")*(order!$G$2:$G$301="False")*order!$E$2:$E$301),0)</f>
        <v>548.28</v>
      </c>
      <c r="F24" s="43" cm="1">
        <f t="array" ref="F24">SUMPRODUCT((order!$B$2:$B$301=$A24)*(order!$C$2:$C$301=F$19)*order!$E$2:$E$301)-IF(AND(F$19="US",OR($A24="essayhubpro.net",$A24="paperwise.co",$A24="editgenius.net")),SUMPRODUCT((order!$B$2:$B$301=$A24)*(order!$C$2:$C$301="US")*(order!$G$2:$G$301="False")*order!$E$2:$E$301),0)</f>
        <v>779.86999999999989</v>
      </c>
      <c r="G24" s="42">
        <f t="shared" si="0"/>
        <v>2335.7599999999998</v>
      </c>
      <c r="I24" s="27">
        <v>45826</v>
      </c>
      <c r="J24" s="41" cm="1">
        <f t="array" ref="J24">SUMPRODUCT((order!$F$2:$F$301=I24)*order!$E$2:$E$301)-SUMPRODUCT((order!$F$2:$F$301=I24)*(((order!$B$2:$B$301="essayhubpro.net")+(order!$B$2:$B$301="paperwise.co")+(order!$B$2:$B$301="editgenius.net"))*(order!$C$2:$C$301="US")*(order!$G$2:$G$301="False"))*order!$E$2:$E$301)</f>
        <v>574.09</v>
      </c>
    </row>
    <row r="25" spans="1:10" x14ac:dyDescent="0.2">
      <c r="A25" s="31" t="s">
        <v>31</v>
      </c>
      <c r="B25" s="43" cm="1">
        <f t="array" ref="B25">SUMPRODUCT((order!$B$2:$B$301=$A25)*(order!$C$2:$C$301=B$19)*order!$E$2:$E$301)-IF(AND(B$19="US",OR($A25="essayhubpro.net",$A25="paperwise.co",$A25="editgenius.net")),SUMPRODUCT((order!$B$2:$B$301=$A25)*(order!$C$2:$C$301="US")*(order!$G$2:$G$301="False")*order!$E$2:$E$301),0)</f>
        <v>598.64</v>
      </c>
      <c r="C25" s="43" cm="1">
        <f t="array" ref="C25">SUMPRODUCT((order!$B$2:$B$301=$A25)*(order!$C$2:$C$301=C$19)*order!$E$2:$E$301)-IF(AND(C$19="US",OR($A25="essayhubpro.net",$A25="paperwise.co",$A25="editgenius.net")),SUMPRODUCT((order!$B$2:$B$301=$A25)*(order!$C$2:$C$301="US")*(order!$G$2:$G$301="False")*order!$E$2:$E$301),0)</f>
        <v>551.88</v>
      </c>
      <c r="D25" s="43" cm="1">
        <f t="array" ref="D25">SUMPRODUCT((order!$B$2:$B$301=$A25)*(order!$C$2:$C$301=D$19)*order!$E$2:$E$301)-IF(AND(D$19="US",OR($A25="essayhubpro.net",$A25="paperwise.co",$A25="editgenius.net")),SUMPRODUCT((order!$B$2:$B$301=$A25)*(order!$C$2:$C$301="US")*(order!$G$2:$G$301="False")*order!$E$2:$E$301),0)</f>
        <v>560.69000000000005</v>
      </c>
      <c r="E25" s="43" cm="1">
        <f t="array" ref="E25">SUMPRODUCT((order!$B$2:$B$301=$A25)*(order!$C$2:$C$301=E$19)*order!$E$2:$E$301)-IF(AND(E$19="US",OR($A25="essayhubpro.net",$A25="paperwise.co",$A25="editgenius.net")),SUMPRODUCT((order!$B$2:$B$301=$A25)*(order!$C$2:$C$301="US")*(order!$G$2:$G$301="False")*order!$E$2:$E$301),0)</f>
        <v>647.45999999999992</v>
      </c>
      <c r="F25" s="43" cm="1">
        <f t="array" ref="F25">SUMPRODUCT((order!$B$2:$B$301=$A25)*(order!$C$2:$C$301=F$19)*order!$E$2:$E$301)-IF(AND(F$19="US",OR($A25="essayhubpro.net",$A25="paperwise.co",$A25="editgenius.net")),SUMPRODUCT((order!$B$2:$B$301=$A25)*(order!$C$2:$C$301="US")*(order!$G$2:$G$301="False")*order!$E$2:$E$301),0)</f>
        <v>358.40999999999997</v>
      </c>
      <c r="G25" s="42">
        <f t="shared" si="0"/>
        <v>2717.08</v>
      </c>
      <c r="I25" s="27">
        <v>45827</v>
      </c>
      <c r="J25" s="41" cm="1">
        <f t="array" ref="J25">SUMPRODUCT((order!$F$2:$F$301=I25)*order!$E$2:$E$301)-SUMPRODUCT((order!$F$2:$F$301=I25)*(((order!$B$2:$B$301="essayhubpro.net")+(order!$B$2:$B$301="paperwise.co")+(order!$B$2:$B$301="editgenius.net"))*(order!$C$2:$C$301="US")*(order!$G$2:$G$301="False"))*order!$E$2:$E$301)</f>
        <v>507.10999999999996</v>
      </c>
    </row>
    <row r="26" spans="1:10" x14ac:dyDescent="0.2">
      <c r="A26" s="31" t="s">
        <v>59</v>
      </c>
      <c r="B26" s="43" cm="1">
        <f t="array" ref="B26">SUMPRODUCT((order!$B$2:$B$301=$A26)*(order!$C$2:$C$301=B$19)*order!$E$2:$E$301)-IF(AND(B$19="US",OR($A26="essayhubpro.net",$A26="paperwise.co",$A26="editgenius.net")),SUMPRODUCT((order!$B$2:$B$301=$A26)*(order!$C$2:$C$301="US")*(order!$G$2:$G$301="False")*order!$E$2:$E$301),0)</f>
        <v>578.04999999999995</v>
      </c>
      <c r="C26" s="43" cm="1">
        <f t="array" ref="C26">SUMPRODUCT((order!$B$2:$B$301=$A26)*(order!$C$2:$C$301=C$19)*order!$E$2:$E$301)-IF(AND(C$19="US",OR($A26="essayhubpro.net",$A26="paperwise.co",$A26="editgenius.net")),SUMPRODUCT((order!$B$2:$B$301=$A26)*(order!$C$2:$C$301="US")*(order!$G$2:$G$301="False")*order!$E$2:$E$301),0)</f>
        <v>593.35</v>
      </c>
      <c r="D26" s="43" cm="1">
        <f t="array" ref="D26">SUMPRODUCT((order!$B$2:$B$301=$A26)*(order!$C$2:$C$301=D$19)*order!$E$2:$E$301)-IF(AND(D$19="US",OR($A26="essayhubpro.net",$A26="paperwise.co",$A26="editgenius.net")),SUMPRODUCT((order!$B$2:$B$301=$A26)*(order!$C$2:$C$301="US")*(order!$G$2:$G$301="False")*order!$E$2:$E$301),0)</f>
        <v>309.91999999999996</v>
      </c>
      <c r="E26" s="43" cm="1">
        <f t="array" ref="E26">SUMPRODUCT((order!$B$2:$B$301=$A26)*(order!$C$2:$C$301=E$19)*order!$E$2:$E$301)-IF(AND(E$19="US",OR($A26="essayhubpro.net",$A26="paperwise.co",$A26="editgenius.net")),SUMPRODUCT((order!$B$2:$B$301=$A26)*(order!$C$2:$C$301="US")*(order!$G$2:$G$301="False")*order!$E$2:$E$301),0)</f>
        <v>741.25</v>
      </c>
      <c r="F26" s="43" cm="1">
        <f t="array" ref="F26">SUMPRODUCT((order!$B$2:$B$301=$A26)*(order!$C$2:$C$301=F$19)*order!$E$2:$E$301)-IF(AND(F$19="US",OR($A26="essayhubpro.net",$A26="paperwise.co",$A26="editgenius.net")),SUMPRODUCT((order!$B$2:$B$301=$A26)*(order!$C$2:$C$301="US")*(order!$G$2:$G$301="False")*order!$E$2:$E$301),0)</f>
        <v>289.86</v>
      </c>
      <c r="G26" s="42">
        <f t="shared" si="0"/>
        <v>2512.4300000000003</v>
      </c>
      <c r="I26" s="27">
        <v>45828</v>
      </c>
      <c r="J26" s="41" cm="1">
        <f t="array" ref="J26">SUMPRODUCT((order!$F$2:$F$301=I26)*order!$E$2:$E$301)-SUMPRODUCT((order!$F$2:$F$301=I26)*(((order!$B$2:$B$301="essayhubpro.net")+(order!$B$2:$B$301="paperwise.co")+(order!$B$2:$B$301="editgenius.net"))*(order!$C$2:$C$301="US")*(order!$G$2:$G$301="False"))*order!$E$2:$E$301)</f>
        <v>1232.3100000000004</v>
      </c>
    </row>
    <row r="27" spans="1:10" x14ac:dyDescent="0.2">
      <c r="A27" s="31" t="s">
        <v>37</v>
      </c>
      <c r="B27" s="43" cm="1">
        <f t="array" ref="B27">SUMPRODUCT((order!$B$2:$B$301=$A27)*(order!$C$2:$C$301=B$19)*order!$E$2:$E$301)-IF(AND(B$19="US",OR($A27="essayhubpro.net",$A27="paperwise.co",$A27="editgenius.net")),SUMPRODUCT((order!$B$2:$B$301=$A27)*(order!$C$2:$C$301="US")*(order!$G$2:$G$301="False")*order!$E$2:$E$301),0)</f>
        <v>598.13</v>
      </c>
      <c r="C27" s="43" cm="1">
        <f t="array" ref="C27">SUMPRODUCT((order!$B$2:$B$301=$A27)*(order!$C$2:$C$301=C$19)*order!$E$2:$E$301)-IF(AND(C$19="US",OR($A27="essayhubpro.net",$A27="paperwise.co",$A27="editgenius.net")),SUMPRODUCT((order!$B$2:$B$301=$A27)*(order!$C$2:$C$301="US")*(order!$G$2:$G$301="False")*order!$E$2:$E$301),0)</f>
        <v>661.21999999999991</v>
      </c>
      <c r="D27" s="43" cm="1">
        <f t="array" ref="D27">SUMPRODUCT((order!$B$2:$B$301=$A27)*(order!$C$2:$C$301=D$19)*order!$E$2:$E$301)-IF(AND(D$19="US",OR($A27="essayhubpro.net",$A27="paperwise.co",$A27="editgenius.net")),SUMPRODUCT((order!$B$2:$B$301=$A27)*(order!$C$2:$C$301="US")*(order!$G$2:$G$301="False")*order!$E$2:$E$301),0)</f>
        <v>330.56</v>
      </c>
      <c r="E27" s="43" cm="1">
        <f t="array" ref="E27">SUMPRODUCT((order!$B$2:$B$301=$A27)*(order!$C$2:$C$301=E$19)*order!$E$2:$E$301)-IF(AND(E$19="US",OR($A27="essayhubpro.net",$A27="paperwise.co",$A27="editgenius.net")),SUMPRODUCT((order!$B$2:$B$301=$A27)*(order!$C$2:$C$301="US")*(order!$G$2:$G$301="False")*order!$E$2:$E$301),0)</f>
        <v>495.05999999999995</v>
      </c>
      <c r="F27" s="43" cm="1">
        <f t="array" ref="F27">SUMPRODUCT((order!$B$2:$B$301=$A27)*(order!$C$2:$C$301=F$19)*order!$E$2:$E$301)-IF(AND(F$19="US",OR($A27="essayhubpro.net",$A27="paperwise.co",$A27="editgenius.net")),SUMPRODUCT((order!$B$2:$B$301=$A27)*(order!$C$2:$C$301="US")*(order!$G$2:$G$301="False")*order!$E$2:$E$301),0)</f>
        <v>599.63</v>
      </c>
      <c r="G27" s="42">
        <f t="shared" si="0"/>
        <v>2684.6</v>
      </c>
      <c r="I27" s="27">
        <v>45829</v>
      </c>
      <c r="J27" s="41" cm="1">
        <f t="array" ref="J27">SUMPRODUCT((order!$F$2:$F$301=I27)*order!$E$2:$E$301)-SUMPRODUCT((order!$F$2:$F$301=I27)*(((order!$B$2:$B$301="essayhubpro.net")+(order!$B$2:$B$301="paperwise.co")+(order!$B$2:$B$301="editgenius.net"))*(order!$C$2:$C$301="US")*(order!$G$2:$G$301="False"))*order!$E$2:$E$301)</f>
        <v>728.44999999999993</v>
      </c>
    </row>
    <row r="28" spans="1:10" x14ac:dyDescent="0.2">
      <c r="A28" s="31" t="s">
        <v>34</v>
      </c>
      <c r="B28" s="43" cm="1">
        <f t="array" ref="B28">SUMPRODUCT((order!$B$2:$B$301=$A28)*(order!$C$2:$C$301=B$19)*order!$E$2:$E$301)-IF(AND(B$19="US",OR($A28="essayhubpro.net",$A28="paperwise.co",$A28="editgenius.net")),SUMPRODUCT((order!$B$2:$B$301=$A28)*(order!$C$2:$C$301="US")*(order!$G$2:$G$301="False")*order!$E$2:$E$301),0)</f>
        <v>312.73</v>
      </c>
      <c r="C28" s="43" cm="1">
        <f t="array" ref="C28">SUMPRODUCT((order!$B$2:$B$301=$A28)*(order!$C$2:$C$301=C$19)*order!$E$2:$E$301)-IF(AND(C$19="US",OR($A28="essayhubpro.net",$A28="paperwise.co",$A28="editgenius.net")),SUMPRODUCT((order!$B$2:$B$301=$A28)*(order!$C$2:$C$301="US")*(order!$G$2:$G$301="False")*order!$E$2:$E$301),0)</f>
        <v>343.19</v>
      </c>
      <c r="D28" s="43" cm="1">
        <f t="array" ref="D28">SUMPRODUCT((order!$B$2:$B$301=$A28)*(order!$C$2:$C$301=D$19)*order!$E$2:$E$301)-IF(AND(D$19="US",OR($A28="essayhubpro.net",$A28="paperwise.co",$A28="editgenius.net")),SUMPRODUCT((order!$B$2:$B$301=$A28)*(order!$C$2:$C$301="US")*(order!$G$2:$G$301="False")*order!$E$2:$E$301),0)</f>
        <v>767.24</v>
      </c>
      <c r="E28" s="43" cm="1">
        <f t="array" ref="E28">SUMPRODUCT((order!$B$2:$B$301=$A28)*(order!$C$2:$C$301=E$19)*order!$E$2:$E$301)-IF(AND(E$19="US",OR($A28="essayhubpro.net",$A28="paperwise.co",$A28="editgenius.net")),SUMPRODUCT((order!$B$2:$B$301=$A28)*(order!$C$2:$C$301="US")*(order!$G$2:$G$301="False")*order!$E$2:$E$301),0)</f>
        <v>547.67000000000007</v>
      </c>
      <c r="F28" s="43" cm="1">
        <f t="array" ref="F28">SUMPRODUCT((order!$B$2:$B$301=$A28)*(order!$C$2:$C$301=F$19)*order!$E$2:$E$301)-IF(AND(F$19="US",OR($A28="essayhubpro.net",$A28="paperwise.co",$A28="editgenius.net")),SUMPRODUCT((order!$B$2:$B$301=$A28)*(order!$C$2:$C$301="US")*(order!$G$2:$G$301="False")*order!$E$2:$E$301),0)</f>
        <v>373.51</v>
      </c>
      <c r="G28" s="42">
        <f t="shared" si="0"/>
        <v>2344.34</v>
      </c>
      <c r="I28" s="27">
        <v>45830</v>
      </c>
      <c r="J28" s="41" cm="1">
        <f t="array" ref="J28">SUMPRODUCT((order!$F$2:$F$301=I28)*order!$E$2:$E$301)-SUMPRODUCT((order!$F$2:$F$301=I28)*(((order!$B$2:$B$301="essayhubpro.net")+(order!$B$2:$B$301="paperwise.co")+(order!$B$2:$B$301="editgenius.net"))*(order!$C$2:$C$301="US")*(order!$G$2:$G$301="False"))*order!$E$2:$E$301)</f>
        <v>746.48</v>
      </c>
    </row>
    <row r="29" spans="1:10" x14ac:dyDescent="0.2">
      <c r="I29" s="27">
        <v>45831</v>
      </c>
      <c r="J29" s="41" cm="1">
        <f t="array" ref="J29">SUMPRODUCT((order!$F$2:$F$301=I29)*order!$E$2:$E$301)-SUMPRODUCT((order!$F$2:$F$301=I29)*(((order!$B$2:$B$301="essayhubpro.net")+(order!$B$2:$B$301="paperwise.co")+(order!$B$2:$B$301="editgenius.net"))*(order!$C$2:$C$301="US")*(order!$G$2:$G$301="False"))*order!$E$2:$E$301)</f>
        <v>902.06</v>
      </c>
    </row>
    <row r="30" spans="1:10" x14ac:dyDescent="0.2">
      <c r="I30" s="27">
        <v>45832</v>
      </c>
      <c r="J30" s="41" cm="1">
        <f t="array" ref="J30">SUMPRODUCT((order!$F$2:$F$301=I30)*order!$E$2:$E$301)-SUMPRODUCT((order!$F$2:$F$301=I30)*(((order!$B$2:$B$301="essayhubpro.net")+(order!$B$2:$B$301="paperwise.co")+(order!$B$2:$B$301="editgenius.net"))*(order!$C$2:$C$301="US")*(order!$G$2:$G$301="False"))*order!$E$2:$E$301)</f>
        <v>643.53</v>
      </c>
    </row>
    <row r="31" spans="1:10" x14ac:dyDescent="0.2">
      <c r="I31" s="27">
        <v>45833</v>
      </c>
      <c r="J31" s="41" cm="1">
        <f t="array" ref="J31">SUMPRODUCT((order!$F$2:$F$301=I31)*order!$E$2:$E$301)-SUMPRODUCT((order!$F$2:$F$301=I31)*(((order!$B$2:$B$301="essayhubpro.net")+(order!$B$2:$B$301="paperwise.co")+(order!$B$2:$B$301="editgenius.net"))*(order!$C$2:$C$301="US")*(order!$G$2:$G$301="False"))*order!$E$2:$E$301)</f>
        <v>1087.1199999999999</v>
      </c>
    </row>
    <row r="32" spans="1:10" x14ac:dyDescent="0.2">
      <c r="I32" s="27">
        <v>45834</v>
      </c>
      <c r="J32" s="41" cm="1">
        <f t="array" ref="J32">SUMPRODUCT((order!$F$2:$F$301=I32)*order!$E$2:$E$301)-SUMPRODUCT((order!$F$2:$F$301=I32)*(((order!$B$2:$B$301="essayhubpro.net")+(order!$B$2:$B$301="paperwise.co")+(order!$B$2:$B$301="editgenius.net"))*(order!$C$2:$C$301="US")*(order!$G$2:$G$301="False"))*order!$E$2:$E$301)</f>
        <v>925.62</v>
      </c>
    </row>
    <row r="33" spans="9:10" x14ac:dyDescent="0.2">
      <c r="I33" s="27">
        <v>45835</v>
      </c>
      <c r="J33" s="41" cm="1">
        <f t="array" ref="J33">SUMPRODUCT((order!$F$2:$F$301=I33)*order!$E$2:$E$301)-SUMPRODUCT((order!$F$2:$F$301=I33)*(((order!$B$2:$B$301="essayhubpro.net")+(order!$B$2:$B$301="paperwise.co")+(order!$B$2:$B$301="editgenius.net"))*(order!$C$2:$C$301="US")*(order!$G$2:$G$301="False"))*order!$E$2:$E$301)</f>
        <v>321.65999999999997</v>
      </c>
    </row>
    <row r="34" spans="9:10" x14ac:dyDescent="0.2">
      <c r="I34" s="27">
        <v>45836</v>
      </c>
      <c r="J34" s="41" cm="1">
        <f t="array" ref="J34">SUMPRODUCT((order!$F$2:$F$301=I34)*order!$E$2:$E$301)-SUMPRODUCT((order!$F$2:$F$301=I34)*(((order!$B$2:$B$301="essayhubpro.net")+(order!$B$2:$B$301="paperwise.co")+(order!$B$2:$B$301="editgenius.net"))*(order!$C$2:$C$301="US")*(order!$G$2:$G$301="False"))*order!$E$2:$E$301)</f>
        <v>1082.3899999999999</v>
      </c>
    </row>
    <row r="35" spans="9:10" x14ac:dyDescent="0.2">
      <c r="I35" s="27">
        <v>45837</v>
      </c>
      <c r="J35" s="41" cm="1">
        <f t="array" ref="J35">SUMPRODUCT((order!$F$2:$F$301=I35)*order!$E$2:$E$301)-SUMPRODUCT((order!$F$2:$F$301=I35)*(((order!$B$2:$B$301="essayhubpro.net")+(order!$B$2:$B$301="paperwise.co")+(order!$B$2:$B$301="editgenius.net"))*(order!$C$2:$C$301="US")*(order!$G$2:$G$301="False"))*order!$E$2:$E$301)</f>
        <v>571.88000000000011</v>
      </c>
    </row>
    <row r="36" spans="9:10" x14ac:dyDescent="0.2">
      <c r="I36" s="46">
        <v>45838</v>
      </c>
      <c r="J36" s="47" cm="1">
        <f t="array" ref="J36">SUMPRODUCT((order!$F$2:$F$301=I36)*order!$E$2:$E$301)-SUMPRODUCT((order!$F$2:$F$301=I36)*(((order!$B$2:$B$301="essayhubpro.net")+(order!$B$2:$B$301="paperwise.co")+(order!$B$2:$B$301="editgenius.net"))*(order!$C$2:$C$301="US")*(order!$G$2:$G$301="False"))*order!$E$2:$E$301)</f>
        <v>714.1400000000001</v>
      </c>
    </row>
    <row r="37" spans="9:10" x14ac:dyDescent="0.2">
      <c r="I37" s="48" t="s">
        <v>891</v>
      </c>
      <c r="J37" s="49">
        <f>SUM(J7:J36)</f>
        <v>23307.500000000004</v>
      </c>
    </row>
  </sheetData>
  <mergeCells count="1">
    <mergeCell ref="A1:J1"/>
  </mergeCells>
  <conditionalFormatting sqref="C7:C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{83B98228-9C22-DD41-96FD-B53C4E66A8EB}</x14:id>
        </ext>
      </extLst>
    </cfRule>
  </conditionalFormatting>
  <conditionalFormatting sqref="G7:G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{3BC7B1E9-2447-7C4A-A1C0-3136CE3EB1C3}</x14:id>
        </ext>
      </extLst>
    </cfRule>
  </conditionalFormatting>
  <conditionalFormatting sqref="G20:G2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{5F8A58BE-C409-904A-B09B-27023E1C3452}</x14:id>
        </ext>
      </extLst>
    </cfRule>
  </conditionalFormatting>
  <conditionalFormatting sqref="J7:J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{4EF56E97-1D66-534B-AAC9-7BAF7B4CE20F}</x14:id>
        </ext>
      </extLst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B98228-9C22-DD41-96FD-B53C4E66A8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C7:C15</xm:sqref>
        </x14:conditionalFormatting>
        <x14:conditionalFormatting xmlns:xm="http://schemas.microsoft.com/office/excel/2006/main">
          <x14:cfRule type="dataBar" id="{3BC7B1E9-2447-7C4A-A1C0-3136CE3EB1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G7:G11</xm:sqref>
        </x14:conditionalFormatting>
        <x14:conditionalFormatting xmlns:xm="http://schemas.microsoft.com/office/excel/2006/main">
          <x14:cfRule type="dataBar" id="{5F8A58BE-C409-904A-B09B-27023E1C34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G20:G28</xm:sqref>
        </x14:conditionalFormatting>
        <x14:conditionalFormatting xmlns:xm="http://schemas.microsoft.com/office/excel/2006/main">
          <x14:cfRule type="dataBar" id="{4EF56E97-1D66-534B-AAC9-7BAF7B4CE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J7:J36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999F-32B2-FF4B-B8B3-5D6452DF240B}">
  <dimension ref="A1:H35"/>
  <sheetViews>
    <sheetView workbookViewId="0">
      <selection activeCell="C24" sqref="C24"/>
    </sheetView>
  </sheetViews>
  <sheetFormatPr baseColWidth="10" defaultRowHeight="16" x14ac:dyDescent="0.2"/>
  <cols>
    <col min="1" max="1" width="26.6640625" customWidth="1"/>
    <col min="2" max="2" width="21.83203125" bestFit="1" customWidth="1"/>
    <col min="3" max="3" width="63" bestFit="1" customWidth="1"/>
    <col min="4" max="4" width="32.6640625" bestFit="1" customWidth="1"/>
    <col min="5" max="7" width="18.33203125" customWidth="1"/>
    <col min="8" max="8" width="15.83203125" bestFit="1" customWidth="1"/>
  </cols>
  <sheetData>
    <row r="1" spans="1:8" ht="24" x14ac:dyDescent="0.2">
      <c r="A1" s="60" t="s">
        <v>887</v>
      </c>
      <c r="B1" s="60"/>
      <c r="C1" s="60"/>
      <c r="D1" s="60"/>
      <c r="E1" s="60"/>
      <c r="F1" s="60"/>
      <c r="G1" s="60"/>
    </row>
    <row r="3" spans="1:8" x14ac:dyDescent="0.2">
      <c r="A3" s="4" t="s">
        <v>859</v>
      </c>
    </row>
    <row r="4" spans="1:8" x14ac:dyDescent="0.2">
      <c r="A4" s="32" t="s">
        <v>827</v>
      </c>
      <c r="B4" s="15" t="s">
        <v>331</v>
      </c>
      <c r="C4" s="15" t="s">
        <v>334</v>
      </c>
      <c r="D4" s="15" t="s">
        <v>340</v>
      </c>
      <c r="E4" s="15" t="s">
        <v>336</v>
      </c>
      <c r="F4" s="15" t="s">
        <v>860</v>
      </c>
      <c r="G4" s="26" t="s">
        <v>894</v>
      </c>
      <c r="H4" s="50" t="s">
        <v>893</v>
      </c>
    </row>
    <row r="5" spans="1:8" x14ac:dyDescent="0.2">
      <c r="A5" s="33" t="s">
        <v>34</v>
      </c>
      <c r="B5" s="24">
        <f>COUNTIFS(site_event_log!$A:$A,$A5,site_event_log!$B:$B,B$4)</f>
        <v>19</v>
      </c>
      <c r="C5" s="24">
        <f>COUNTIFS(site_event_log!$A:$A,$A5,site_event_log!$B:$B,C$4)</f>
        <v>15</v>
      </c>
      <c r="D5" s="24">
        <f>COUNTIFS(site_event_log!$A:$A,$A5,site_event_log!$B:$B,D$4)</f>
        <v>9</v>
      </c>
      <c r="E5" s="24">
        <f>COUNTIFS(site_event_log!$A:$A,$A5,site_event_log!$B:$B,E$4)</f>
        <v>13</v>
      </c>
      <c r="F5" s="20">
        <f t="shared" ref="F5:F13" si="0">SUM(B5:E5)</f>
        <v>56</v>
      </c>
      <c r="G5" s="5">
        <f t="shared" ref="G5:G13" si="1">IF(C5=0,0,B5/C5)</f>
        <v>1.2666666666666666</v>
      </c>
      <c r="H5" s="51">
        <f>IFERROR(B5/SUMIF(traffic_sources!A:A,A5,traffic_sources!C:C),0)</f>
        <v>5.0211416490486254E-3</v>
      </c>
    </row>
    <row r="6" spans="1:8" x14ac:dyDescent="0.2">
      <c r="A6" s="33" t="s">
        <v>31</v>
      </c>
      <c r="B6" s="24">
        <f>COUNTIFS(site_event_log!$A:$A,$A6,site_event_log!$B:$B,B$4)</f>
        <v>16</v>
      </c>
      <c r="C6" s="24">
        <f>COUNTIFS(site_event_log!$A:$A,$A6,site_event_log!$B:$B,C$4)</f>
        <v>15</v>
      </c>
      <c r="D6" s="24">
        <f>COUNTIFS(site_event_log!$A:$A,$A6,site_event_log!$B:$B,D$4)</f>
        <v>18</v>
      </c>
      <c r="E6" s="24">
        <f>COUNTIFS(site_event_log!$A:$A,$A6,site_event_log!$B:$B,E$4)</f>
        <v>10</v>
      </c>
      <c r="F6" s="20">
        <f t="shared" si="0"/>
        <v>59</v>
      </c>
      <c r="G6" s="5">
        <f t="shared" si="1"/>
        <v>1.0666666666666667</v>
      </c>
      <c r="H6" s="51">
        <f>IFERROR(B6/SUMIF(traffic_sources!A:A,A6,traffic_sources!C:C),0)</f>
        <v>3.2507110930516049E-3</v>
      </c>
    </row>
    <row r="7" spans="1:8" x14ac:dyDescent="0.2">
      <c r="A7" s="33" t="s">
        <v>37</v>
      </c>
      <c r="B7" s="24">
        <f>COUNTIFS(site_event_log!$A:$A,$A7,site_event_log!$B:$B,B$4)</f>
        <v>15</v>
      </c>
      <c r="C7" s="24">
        <f>COUNTIFS(site_event_log!$A:$A,$A7,site_event_log!$B:$B,C$4)</f>
        <v>11</v>
      </c>
      <c r="D7" s="24">
        <f>COUNTIFS(site_event_log!$A:$A,$A7,site_event_log!$B:$B,D$4)</f>
        <v>11</v>
      </c>
      <c r="E7" s="24">
        <f>COUNTIFS(site_event_log!$A:$A,$A7,site_event_log!$B:$B,E$4)</f>
        <v>16</v>
      </c>
      <c r="F7" s="20">
        <f t="shared" si="0"/>
        <v>53</v>
      </c>
      <c r="G7" s="5">
        <f t="shared" si="1"/>
        <v>1.3636363636363635</v>
      </c>
      <c r="H7" s="52">
        <f>IFERROR(B7/SUMIF(traffic_sources!A:A,A7,traffic_sources!C:C),0)</f>
        <v>3.5294117647058825E-3</v>
      </c>
    </row>
    <row r="8" spans="1:8" x14ac:dyDescent="0.2">
      <c r="A8" s="33" t="s">
        <v>8</v>
      </c>
      <c r="B8" s="24">
        <f>COUNTIFS(site_event_log!$A:$A,$A8,site_event_log!$B:$B,B$4)</f>
        <v>14</v>
      </c>
      <c r="C8" s="24">
        <f>COUNTIFS(site_event_log!$A:$A,$A8,site_event_log!$B:$B,C$4)</f>
        <v>13</v>
      </c>
      <c r="D8" s="24">
        <f>COUNTIFS(site_event_log!$A:$A,$A8,site_event_log!$B:$B,D$4)</f>
        <v>14</v>
      </c>
      <c r="E8" s="24">
        <f>COUNTIFS(site_event_log!$A:$A,$A8,site_event_log!$B:$B,E$4)</f>
        <v>16</v>
      </c>
      <c r="F8" s="20">
        <f t="shared" si="0"/>
        <v>57</v>
      </c>
      <c r="G8" s="5">
        <f t="shared" si="1"/>
        <v>1.0769230769230769</v>
      </c>
      <c r="H8" s="52">
        <f>IFERROR(B8/SUMIF(traffic_sources!A:A,A8,traffic_sources!C:C),0)</f>
        <v>3.9671294984414849E-3</v>
      </c>
    </row>
    <row r="9" spans="1:8" x14ac:dyDescent="0.2">
      <c r="A9" s="33" t="s">
        <v>59</v>
      </c>
      <c r="B9" s="24">
        <f>COUNTIFS(site_event_log!$A:$A,$A9,site_event_log!$B:$B,B$4)</f>
        <v>14</v>
      </c>
      <c r="C9" s="24">
        <f>COUNTIFS(site_event_log!$A:$A,$A9,site_event_log!$B:$B,C$4)</f>
        <v>16</v>
      </c>
      <c r="D9" s="24">
        <f>COUNTIFS(site_event_log!$A:$A,$A9,site_event_log!$B:$B,D$4)</f>
        <v>20</v>
      </c>
      <c r="E9" s="24">
        <f>COUNTIFS(site_event_log!$A:$A,$A9,site_event_log!$B:$B,E$4)</f>
        <v>10</v>
      </c>
      <c r="F9" s="20">
        <f t="shared" si="0"/>
        <v>60</v>
      </c>
      <c r="G9" s="5">
        <f t="shared" si="1"/>
        <v>0.875</v>
      </c>
      <c r="H9" s="52">
        <f>IFERROR(B9/SUMIF(traffic_sources!A:A,A9,traffic_sources!C:C),0)</f>
        <v>3.0994022581359308E-3</v>
      </c>
    </row>
    <row r="10" spans="1:8" x14ac:dyDescent="0.2">
      <c r="A10" s="33" t="s">
        <v>20</v>
      </c>
      <c r="B10" s="24">
        <f>COUNTIFS(site_event_log!$A:$A,$A10,site_event_log!$B:$B,B$4)</f>
        <v>13</v>
      </c>
      <c r="C10" s="24">
        <f>COUNTIFS(site_event_log!$A:$A,$A10,site_event_log!$B:$B,C$4)</f>
        <v>14</v>
      </c>
      <c r="D10" s="24">
        <f>COUNTIFS(site_event_log!$A:$A,$A10,site_event_log!$B:$B,D$4)</f>
        <v>17</v>
      </c>
      <c r="E10" s="24">
        <f>COUNTIFS(site_event_log!$A:$A,$A10,site_event_log!$B:$B,E$4)</f>
        <v>11</v>
      </c>
      <c r="F10" s="20">
        <f t="shared" si="0"/>
        <v>55</v>
      </c>
      <c r="G10" s="5">
        <f t="shared" si="1"/>
        <v>0.9285714285714286</v>
      </c>
      <c r="H10" s="52">
        <f>IFERROR(B10/SUMIF(traffic_sources!A:A,A10,traffic_sources!C:C),0)</f>
        <v>2.4724229745150248E-3</v>
      </c>
    </row>
    <row r="11" spans="1:8" x14ac:dyDescent="0.2">
      <c r="A11" s="33" t="s">
        <v>23</v>
      </c>
      <c r="B11" s="24">
        <f>COUNTIFS(site_event_log!$A:$A,$A11,site_event_log!$B:$B,B$4)</f>
        <v>11</v>
      </c>
      <c r="C11" s="24">
        <f>COUNTIFS(site_event_log!$A:$A,$A11,site_event_log!$B:$B,C$4)</f>
        <v>12</v>
      </c>
      <c r="D11" s="24">
        <f>COUNTIFS(site_event_log!$A:$A,$A11,site_event_log!$B:$B,D$4)</f>
        <v>11</v>
      </c>
      <c r="E11" s="24">
        <f>COUNTIFS(site_event_log!$A:$A,$A11,site_event_log!$B:$B,E$4)</f>
        <v>20</v>
      </c>
      <c r="F11" s="20">
        <f t="shared" si="0"/>
        <v>54</v>
      </c>
      <c r="G11" s="5">
        <f t="shared" si="1"/>
        <v>0.91666666666666663</v>
      </c>
      <c r="H11" s="52">
        <f>IFERROR(B11/SUMIF(traffic_sources!A:A,A11,traffic_sources!C:C),0)</f>
        <v>2.7033669206193169E-3</v>
      </c>
    </row>
    <row r="12" spans="1:8" x14ac:dyDescent="0.2">
      <c r="A12" s="33" t="s">
        <v>17</v>
      </c>
      <c r="B12" s="24">
        <f>COUNTIFS(site_event_log!$A:$A,$A12,site_event_log!$B:$B,B$4)</f>
        <v>9</v>
      </c>
      <c r="C12" s="24">
        <f>COUNTIFS(site_event_log!$A:$A,$A12,site_event_log!$B:$B,C$4)</f>
        <v>10</v>
      </c>
      <c r="D12" s="24">
        <f>COUNTIFS(site_event_log!$A:$A,$A12,site_event_log!$B:$B,D$4)</f>
        <v>11</v>
      </c>
      <c r="E12" s="24">
        <f>COUNTIFS(site_event_log!$A:$A,$A12,site_event_log!$B:$B,E$4)</f>
        <v>19</v>
      </c>
      <c r="F12" s="20">
        <f t="shared" si="0"/>
        <v>49</v>
      </c>
      <c r="G12" s="5">
        <f t="shared" si="1"/>
        <v>0.9</v>
      </c>
      <c r="H12" s="52">
        <f>IFERROR(B12/SUMIF(traffic_sources!A:A,A12,traffic_sources!C:C),0)</f>
        <v>2.0708697653014268E-3</v>
      </c>
    </row>
    <row r="13" spans="1:8" x14ac:dyDescent="0.2">
      <c r="A13" s="34" t="s">
        <v>25</v>
      </c>
      <c r="B13" s="24">
        <f>COUNTIFS(site_event_log!$A:$A,$A13,site_event_log!$B:$B,B$4)</f>
        <v>7</v>
      </c>
      <c r="C13" s="24">
        <f>COUNTIFS(site_event_log!$A:$A,$A13,site_event_log!$B:$B,C$4)</f>
        <v>19</v>
      </c>
      <c r="D13" s="24">
        <f>COUNTIFS(site_event_log!$A:$A,$A13,site_event_log!$B:$B,D$4)</f>
        <v>14</v>
      </c>
      <c r="E13" s="24">
        <f>COUNTIFS(site_event_log!$A:$A,$A13,site_event_log!$B:$B,E$4)</f>
        <v>17</v>
      </c>
      <c r="F13" s="20">
        <f t="shared" si="0"/>
        <v>57</v>
      </c>
      <c r="G13" s="5">
        <f t="shared" si="1"/>
        <v>0.36842105263157893</v>
      </c>
      <c r="H13" s="53">
        <f>IFERROR(B13/SUMIF(traffic_sources!A:A,A13,traffic_sources!C:C),0)</f>
        <v>1.4030867909400682E-3</v>
      </c>
    </row>
    <row r="15" spans="1:8" x14ac:dyDescent="0.2">
      <c r="A15" s="4" t="s">
        <v>861</v>
      </c>
    </row>
    <row r="16" spans="1:8" x14ac:dyDescent="0.2">
      <c r="A16" s="3" t="s">
        <v>888</v>
      </c>
    </row>
    <row r="18" spans="1:4" x14ac:dyDescent="0.2">
      <c r="A18" s="4" t="s">
        <v>862</v>
      </c>
    </row>
    <row r="19" spans="1:4" x14ac:dyDescent="0.2">
      <c r="A19" s="28" t="s">
        <v>863</v>
      </c>
      <c r="B19" s="28" t="s">
        <v>864</v>
      </c>
      <c r="C19" s="28" t="s">
        <v>865</v>
      </c>
      <c r="D19" s="28" t="s">
        <v>866</v>
      </c>
    </row>
    <row r="20" spans="1:4" x14ac:dyDescent="0.2">
      <c r="A20" t="s">
        <v>867</v>
      </c>
      <c r="B20" t="s">
        <v>868</v>
      </c>
      <c r="C20" t="s">
        <v>869</v>
      </c>
      <c r="D20" t="s">
        <v>870</v>
      </c>
    </row>
    <row r="21" spans="1:4" x14ac:dyDescent="0.2">
      <c r="A21" t="s">
        <v>871</v>
      </c>
      <c r="B21" t="s">
        <v>334</v>
      </c>
      <c r="C21" t="s">
        <v>872</v>
      </c>
      <c r="D21" t="s">
        <v>873</v>
      </c>
    </row>
    <row r="22" spans="1:4" x14ac:dyDescent="0.2">
      <c r="A22" t="s">
        <v>874</v>
      </c>
      <c r="B22" t="s">
        <v>340</v>
      </c>
      <c r="C22" t="s">
        <v>875</v>
      </c>
      <c r="D22" t="s">
        <v>873</v>
      </c>
    </row>
    <row r="23" spans="1:4" x14ac:dyDescent="0.2">
      <c r="A23" t="s">
        <v>876</v>
      </c>
      <c r="B23" t="s">
        <v>336</v>
      </c>
      <c r="C23" t="s">
        <v>877</v>
      </c>
      <c r="D23" t="s">
        <v>873</v>
      </c>
    </row>
    <row r="24" spans="1:4" x14ac:dyDescent="0.2">
      <c r="A24" t="s">
        <v>878</v>
      </c>
      <c r="B24" t="s">
        <v>879</v>
      </c>
      <c r="C24" t="s">
        <v>880</v>
      </c>
      <c r="D24" t="s">
        <v>873</v>
      </c>
    </row>
    <row r="26" spans="1:4" x14ac:dyDescent="0.2">
      <c r="A26" s="4" t="s">
        <v>881</v>
      </c>
    </row>
    <row r="27" spans="1:4" x14ac:dyDescent="0.2">
      <c r="A27" t="s">
        <v>882</v>
      </c>
    </row>
    <row r="28" spans="1:4" x14ac:dyDescent="0.2">
      <c r="A28" t="s">
        <v>883</v>
      </c>
    </row>
    <row r="29" spans="1:4" x14ac:dyDescent="0.2">
      <c r="A29" t="s">
        <v>884</v>
      </c>
    </row>
    <row r="30" spans="1:4" x14ac:dyDescent="0.2">
      <c r="A30" t="s">
        <v>885</v>
      </c>
    </row>
    <row r="31" spans="1:4" x14ac:dyDescent="0.2">
      <c r="A31" s="4" t="s">
        <v>886</v>
      </c>
    </row>
    <row r="33" spans="1:1" x14ac:dyDescent="0.2">
      <c r="A33" s="4"/>
    </row>
    <row r="35" spans="1:1" x14ac:dyDescent="0.2">
      <c r="A35" s="4"/>
    </row>
  </sheetData>
  <mergeCells count="1">
    <mergeCell ref="A1:G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48CB-8C7A-824F-980D-DB620775FC07}">
  <dimension ref="A1:Z200"/>
  <sheetViews>
    <sheetView tabSelected="1" topLeftCell="A39" zoomScale="113" workbookViewId="0">
      <selection activeCell="A75" sqref="A75"/>
    </sheetView>
  </sheetViews>
  <sheetFormatPr baseColWidth="10" defaultRowHeight="16" x14ac:dyDescent="0.2"/>
  <cols>
    <col min="1" max="1" width="33.6640625" customWidth="1"/>
    <col min="2" max="2" width="18.5" customWidth="1"/>
    <col min="3" max="4" width="38.33203125" customWidth="1"/>
  </cols>
  <sheetData>
    <row r="1" spans="1:26" ht="19" x14ac:dyDescent="0.25">
      <c r="A1" s="61"/>
      <c r="B1" s="61"/>
      <c r="C1" s="61"/>
      <c r="D1" s="61"/>
      <c r="E1" s="61"/>
      <c r="F1" s="61"/>
      <c r="G1" s="61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x14ac:dyDescent="0.2">
      <c r="A3" s="36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x14ac:dyDescent="0.2">
      <c r="A5" s="37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x14ac:dyDescent="0.2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x14ac:dyDescent="0.2">
      <c r="A7" s="36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x14ac:dyDescent="0.2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x14ac:dyDescent="0.2">
      <c r="A9" s="36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x14ac:dyDescent="0.2">
      <c r="A11" s="36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x14ac:dyDescent="0.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x14ac:dyDescent="0.2">
      <c r="A13" s="36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x14ac:dyDescent="0.2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x14ac:dyDescent="0.2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x14ac:dyDescent="0.2">
      <c r="A16" s="36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x14ac:dyDescent="0.2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x14ac:dyDescent="0.2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x14ac:dyDescent="0.2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x14ac:dyDescent="0.2">
      <c r="A21" s="36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x14ac:dyDescent="0.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x14ac:dyDescent="0.2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x14ac:dyDescent="0.2">
      <c r="A25" s="36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x14ac:dyDescent="0.2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x14ac:dyDescent="0.2">
      <c r="A28" s="36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x14ac:dyDescent="0.2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x14ac:dyDescent="0.2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x14ac:dyDescent="0.2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x14ac:dyDescent="0.2">
      <c r="A32" s="36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x14ac:dyDescent="0.2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x14ac:dyDescent="0.2">
      <c r="A34" s="4"/>
      <c r="B34" s="39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x14ac:dyDescent="0.2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x14ac:dyDescent="0.2">
      <c r="A36" s="38"/>
      <c r="B36" s="38"/>
      <c r="C36" s="38"/>
      <c r="D36" s="38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x14ac:dyDescent="0.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x14ac:dyDescent="0.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x14ac:dyDescent="0.2">
      <c r="A44" s="36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x14ac:dyDescent="0.2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x14ac:dyDescent="0.2">
      <c r="A52" s="36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x14ac:dyDescent="0.2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x14ac:dyDescent="0.2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x14ac:dyDescent="0.2">
      <c r="A58" s="36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x14ac:dyDescent="0.2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x14ac:dyDescent="0.2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x14ac:dyDescent="0.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x14ac:dyDescent="0.2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x14ac:dyDescent="0.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x14ac:dyDescent="0.2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x14ac:dyDescent="0.2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x14ac:dyDescent="0.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x14ac:dyDescent="0.2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x14ac:dyDescent="0.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x14ac:dyDescent="0.2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x14ac:dyDescent="0.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x14ac:dyDescent="0.2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x14ac:dyDescent="0.2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x14ac:dyDescent="0.2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x14ac:dyDescent="0.2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x14ac:dyDescent="0.2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x14ac:dyDescent="0.2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x14ac:dyDescent="0.2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x14ac:dyDescent="0.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x14ac:dyDescent="0.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x14ac:dyDescent="0.2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x14ac:dyDescent="0.2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x14ac:dyDescent="0.2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x14ac:dyDescent="0.2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x14ac:dyDescent="0.2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x14ac:dyDescent="0.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x14ac:dyDescent="0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x14ac:dyDescent="0.2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x14ac:dyDescent="0.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x14ac:dyDescent="0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x14ac:dyDescent="0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x14ac:dyDescent="0.2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x14ac:dyDescent="0.2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x14ac:dyDescent="0.2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x14ac:dyDescent="0.2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x14ac:dyDescent="0.2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x14ac:dyDescent="0.2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x14ac:dyDescent="0.2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x14ac:dyDescent="0.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x14ac:dyDescent="0.2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x14ac:dyDescent="0.2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x14ac:dyDescent="0.2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x14ac:dyDescent="0.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x14ac:dyDescent="0.2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x14ac:dyDescent="0.2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x14ac:dyDescent="0.2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x14ac:dyDescent="0.2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x14ac:dyDescent="0.2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x14ac:dyDescent="0.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x14ac:dyDescent="0.2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x14ac:dyDescent="0.2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x14ac:dyDescent="0.2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x14ac:dyDescent="0.2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x14ac:dyDescent="0.2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x14ac:dyDescent="0.2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x14ac:dyDescent="0.2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x14ac:dyDescent="0.2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x14ac:dyDescent="0.2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x14ac:dyDescent="0.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x14ac:dyDescent="0.2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x14ac:dyDescent="0.2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x14ac:dyDescent="0.2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x14ac:dyDescent="0.2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x14ac:dyDescent="0.2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x14ac:dyDescent="0.2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x14ac:dyDescent="0.2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x14ac:dyDescent="0.2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x14ac:dyDescent="0.2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x14ac:dyDescent="0.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x14ac:dyDescent="0.2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x14ac:dyDescent="0.2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x14ac:dyDescent="0.2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x14ac:dyDescent="0.2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x14ac:dyDescent="0.2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x14ac:dyDescent="0.2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x14ac:dyDescent="0.2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x14ac:dyDescent="0.2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x14ac:dyDescent="0.2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x14ac:dyDescent="0.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x14ac:dyDescent="0.2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x14ac:dyDescent="0.2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x14ac:dyDescent="0.2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x14ac:dyDescent="0.2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x14ac:dyDescent="0.2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x14ac:dyDescent="0.2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x14ac:dyDescent="0.2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x14ac:dyDescent="0.2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x14ac:dyDescent="0.2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x14ac:dyDescent="0.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x14ac:dyDescent="0.2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x14ac:dyDescent="0.2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x14ac:dyDescent="0.2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x14ac:dyDescent="0.2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x14ac:dyDescent="0.2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x14ac:dyDescent="0.2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x14ac:dyDescent="0.2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x14ac:dyDescent="0.2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x14ac:dyDescent="0.2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x14ac:dyDescent="0.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x14ac:dyDescent="0.2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x14ac:dyDescent="0.2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x14ac:dyDescent="0.2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x14ac:dyDescent="0.2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x14ac:dyDescent="0.2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x14ac:dyDescent="0.2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x14ac:dyDescent="0.2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x14ac:dyDescent="0.2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x14ac:dyDescent="0.2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x14ac:dyDescent="0.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x14ac:dyDescent="0.2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x14ac:dyDescent="0.2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x14ac:dyDescent="0.2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x14ac:dyDescent="0.2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x14ac:dyDescent="0.2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x14ac:dyDescent="0.2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x14ac:dyDescent="0.2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x14ac:dyDescent="0.2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x14ac:dyDescent="0.2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x14ac:dyDescent="0.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x14ac:dyDescent="0.2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x14ac:dyDescent="0.2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x14ac:dyDescent="0.2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x14ac:dyDescent="0.2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x14ac:dyDescent="0.2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x14ac:dyDescent="0.2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x14ac:dyDescent="0.2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x14ac:dyDescent="0.2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x14ac:dyDescent="0.2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x14ac:dyDescent="0.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x14ac:dyDescent="0.2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x14ac:dyDescent="0.2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x14ac:dyDescent="0.2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x14ac:dyDescent="0.2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x14ac:dyDescent="0.2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x14ac:dyDescent="0.2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x14ac:dyDescent="0.2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x14ac:dyDescent="0.2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</vt:lpstr>
      <vt:lpstr>site_event_log</vt:lpstr>
      <vt:lpstr>site_mapping</vt:lpstr>
      <vt:lpstr>traffic_sources</vt:lpstr>
      <vt:lpstr>task_1</vt:lpstr>
      <vt:lpstr>task_2</vt:lpstr>
      <vt:lpstr>task_3</vt:lpstr>
      <vt:lpstr>task_4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Volodymyr Babunych</dc:creator>
  <cp:lastModifiedBy>Volodymyr Babunych</cp:lastModifiedBy>
  <dcterms:created xsi:type="dcterms:W3CDTF">2026-05-02T12:44:05Z</dcterms:created>
  <dcterms:modified xsi:type="dcterms:W3CDTF">2026-05-03T11:26:42Z</dcterms:modified>
</cp:coreProperties>
</file>